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lca-teaching\sorbonne-paris-nord\"/>
    </mc:Choice>
  </mc:AlternateContent>
  <xr:revisionPtr revIDLastSave="0" documentId="13_ncr:1_{55B4B7A8-D101-4A0A-A659-5D02BC214D57}" xr6:coauthVersionLast="47" xr6:coauthVersionMax="47" xr10:uidLastSave="{00000000-0000-0000-0000-000000000000}"/>
  <bookViews>
    <workbookView xWindow="-120" yWindow="-120" windowWidth="29040" windowHeight="17520" xr2:uid="{17270B76-C089-47FC-9DAF-E1B5A36C2491}"/>
  </bookViews>
  <sheets>
    <sheet name="Inventaire" sheetId="2" r:id="rId1"/>
    <sheet name="Analyse d'impacts" sheetId="4" r:id="rId2"/>
    <sheet name="Mix électriques" sheetId="3" r:id="rId3"/>
  </sheets>
  <definedNames>
    <definedName name="Import1_FuelChain_COL">#REF!</definedName>
    <definedName name="Import1_Impact_COL">#REF!</definedName>
    <definedName name="Import1_Region_COL">#REF!</definedName>
    <definedName name="Import1_Scenario_COL">#REF!</definedName>
    <definedName name="Import1_Sensitivity_COL">#REF!</definedName>
    <definedName name="Import1_Substage_COL">#REF!</definedName>
    <definedName name="l_ElecFuelChain">#REF!</definedName>
    <definedName name="n_SelectedImpact_Elec">'Mix électriques'!$C$13</definedName>
    <definedName name="n_SelectedRegion_Elec">'Mix électriques'!$C$17</definedName>
    <definedName name="n_SelectedScenario_Elec">'Mix électriques'!$C$14</definedName>
    <definedName name="n_SelectedSensitivity_Elec">'Mix électriques'!$C$15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6" i="4" l="1" a="1"/>
  <c r="U6" i="4" a="1"/>
  <c r="R6" i="4" a="1"/>
  <c r="O6" i="4" a="1"/>
  <c r="E81" i="2" a="1"/>
  <c r="F81" i="2" s="1"/>
  <c r="E7" i="2"/>
  <c r="M68" i="2"/>
  <c r="R8" i="3"/>
  <c r="S8" i="3"/>
  <c r="K68" i="2"/>
  <c r="H68" i="2"/>
  <c r="M40" i="2"/>
  <c r="O83" i="2" l="1"/>
  <c r="AA84" i="2"/>
  <c r="K84" i="2"/>
  <c r="AC83" i="2"/>
  <c r="M83" i="2"/>
  <c r="AE82" i="2"/>
  <c r="M82" i="2"/>
  <c r="N81" i="2"/>
  <c r="AB84" i="2"/>
  <c r="L84" i="2"/>
  <c r="AD83" i="2"/>
  <c r="N83" i="2"/>
  <c r="AF82" i="2"/>
  <c r="N82" i="2"/>
  <c r="AF81" i="2"/>
  <c r="P81" i="2"/>
  <c r="AE81" i="2"/>
  <c r="Z84" i="2"/>
  <c r="J84" i="2"/>
  <c r="AB83" i="2"/>
  <c r="L83" i="2"/>
  <c r="AB82" i="2"/>
  <c r="L82" i="2"/>
  <c r="AD81" i="2"/>
  <c r="Y84" i="2"/>
  <c r="I84" i="2"/>
  <c r="AA83" i="2"/>
  <c r="K83" i="2"/>
  <c r="AA82" i="2"/>
  <c r="K82" i="2"/>
  <c r="AC81" i="2"/>
  <c r="M81" i="2"/>
  <c r="AI84" i="2"/>
  <c r="AI83" i="2"/>
  <c r="S84" i="2"/>
  <c r="S83" i="2"/>
  <c r="AK82" i="2"/>
  <c r="U82" i="2"/>
  <c r="E82" i="2"/>
  <c r="W81" i="2"/>
  <c r="AH84" i="2"/>
  <c r="P84" i="2"/>
  <c r="AH83" i="2"/>
  <c r="R83" i="2"/>
  <c r="AJ82" i="2"/>
  <c r="T82" i="2"/>
  <c r="AL81" i="2"/>
  <c r="T81" i="2"/>
  <c r="AG84" i="2"/>
  <c r="AG83" i="2"/>
  <c r="AI82" i="2"/>
  <c r="X84" i="2"/>
  <c r="H84" i="2"/>
  <c r="Z83" i="2"/>
  <c r="H83" i="2"/>
  <c r="Z82" i="2"/>
  <c r="J82" i="2"/>
  <c r="AB81" i="2"/>
  <c r="L81" i="2"/>
  <c r="W84" i="2"/>
  <c r="G84" i="2"/>
  <c r="Y83" i="2"/>
  <c r="G83" i="2"/>
  <c r="Y82" i="2"/>
  <c r="I82" i="2"/>
  <c r="AA81" i="2"/>
  <c r="K81" i="2"/>
  <c r="AL84" i="2"/>
  <c r="V84" i="2"/>
  <c r="F84" i="2"/>
  <c r="V83" i="2"/>
  <c r="F83" i="2"/>
  <c r="X82" i="2"/>
  <c r="H82" i="2"/>
  <c r="Z81" i="2"/>
  <c r="J81" i="2"/>
  <c r="AK84" i="2"/>
  <c r="U84" i="2"/>
  <c r="E84" i="2"/>
  <c r="U83" i="2"/>
  <c r="E83" i="2"/>
  <c r="W82" i="2"/>
  <c r="G82" i="2"/>
  <c r="Y81" i="2"/>
  <c r="I81" i="2"/>
  <c r="AJ84" i="2"/>
  <c r="T84" i="2"/>
  <c r="AJ83" i="2"/>
  <c r="T83" i="2"/>
  <c r="AL82" i="2"/>
  <c r="V82" i="2"/>
  <c r="F82" i="2"/>
  <c r="X81" i="2"/>
  <c r="E81" i="2"/>
  <c r="O84" i="2"/>
  <c r="Q83" i="2"/>
  <c r="S82" i="2"/>
  <c r="AK81" i="2"/>
  <c r="S81" i="2"/>
  <c r="AD84" i="2"/>
  <c r="N84" i="2"/>
  <c r="AF83" i="2"/>
  <c r="P83" i="2"/>
  <c r="AH82" i="2"/>
  <c r="R82" i="2"/>
  <c r="AH81" i="2"/>
  <c r="R81" i="2"/>
  <c r="AC84" i="2"/>
  <c r="M84" i="2"/>
  <c r="AE83" i="2"/>
  <c r="AG82" i="2"/>
  <c r="Q82" i="2"/>
  <c r="AG81" i="2"/>
  <c r="Q81" i="2"/>
  <c r="O81" i="2"/>
  <c r="AF84" i="2"/>
  <c r="R84" i="2"/>
  <c r="AL83" i="2"/>
  <c r="X83" i="2"/>
  <c r="J83" i="2"/>
  <c r="AD82" i="2"/>
  <c r="P82" i="2"/>
  <c r="AJ81" i="2"/>
  <c r="V81" i="2"/>
  <c r="H81" i="2"/>
  <c r="AE84" i="2"/>
  <c r="Q84" i="2"/>
  <c r="AK83" i="2"/>
  <c r="W83" i="2"/>
  <c r="I83" i="2"/>
  <c r="AC82" i="2"/>
  <c r="O82" i="2"/>
  <c r="AI81" i="2"/>
  <c r="U81" i="2"/>
  <c r="G81" i="2"/>
  <c r="I38" i="2"/>
  <c r="E91" i="2" l="1" a="1"/>
  <c r="J117" i="2" l="1"/>
  <c r="T118" i="2"/>
  <c r="G117" i="2"/>
  <c r="P112" i="2"/>
  <c r="T123" i="2"/>
  <c r="AI118" i="2"/>
  <c r="R99" i="2"/>
  <c r="J94" i="2"/>
  <c r="X103" i="2"/>
  <c r="AI116" i="2"/>
  <c r="X116" i="2"/>
  <c r="E96" i="2"/>
  <c r="R123" i="2"/>
  <c r="G105" i="2"/>
  <c r="AJ97" i="2"/>
  <c r="W117" i="2"/>
  <c r="R105" i="2"/>
  <c r="Z93" i="2"/>
  <c r="AH110" i="2"/>
  <c r="Q116" i="2"/>
  <c r="I96" i="2"/>
  <c r="AB108" i="2"/>
  <c r="M97" i="2"/>
  <c r="U107" i="2"/>
  <c r="AG110" i="2"/>
  <c r="M107" i="2"/>
  <c r="T119" i="2"/>
  <c r="AL98" i="2"/>
  <c r="U91" i="2"/>
  <c r="E119" i="2"/>
  <c r="T99" i="2"/>
  <c r="AB111" i="2"/>
  <c r="U117" i="2"/>
  <c r="O113" i="2"/>
  <c r="V94" i="2"/>
  <c r="AI99" i="2"/>
  <c r="AE123" i="2"/>
  <c r="Q100" i="2"/>
  <c r="H108" i="2"/>
  <c r="AL110" i="2"/>
  <c r="AB97" i="2"/>
  <c r="V108" i="2"/>
  <c r="L120" i="2"/>
  <c r="U93" i="2"/>
  <c r="M95" i="2"/>
  <c r="Z113" i="2"/>
  <c r="AJ104" i="2"/>
  <c r="V107" i="2"/>
  <c r="AC91" i="2"/>
  <c r="AL106" i="2"/>
  <c r="Z118" i="2"/>
  <c r="AB124" i="2"/>
  <c r="P114" i="2"/>
  <c r="X92" i="2"/>
  <c r="AD105" i="2"/>
  <c r="H113" i="2"/>
  <c r="G104" i="2"/>
  <c r="V99" i="2"/>
  <c r="Y114" i="2"/>
  <c r="AC95" i="2"/>
  <c r="Y106" i="2"/>
  <c r="U111" i="2"/>
  <c r="AL120" i="2"/>
  <c r="AD94" i="2"/>
  <c r="U105" i="2"/>
  <c r="Q103" i="2"/>
  <c r="Z123" i="2"/>
  <c r="F96" i="2"/>
  <c r="AG122" i="2"/>
  <c r="L97" i="2"/>
  <c r="AB107" i="2"/>
  <c r="X121" i="2"/>
  <c r="AF97" i="2"/>
  <c r="O107" i="2"/>
  <c r="S112" i="2"/>
  <c r="Y107" i="2"/>
  <c r="H115" i="2"/>
  <c r="L105" i="2"/>
  <c r="L93" i="2"/>
  <c r="X112" i="2"/>
  <c r="O112" i="2"/>
  <c r="H91" i="2"/>
  <c r="K104" i="2"/>
  <c r="T116" i="2"/>
  <c r="AB112" i="2"/>
  <c r="I123" i="2"/>
  <c r="S101" i="2"/>
  <c r="AF120" i="2"/>
  <c r="AD104" i="2"/>
  <c r="W114" i="2"/>
  <c r="Z92" i="2"/>
  <c r="Y111" i="2"/>
  <c r="AG105" i="2"/>
  <c r="AF107" i="2"/>
  <c r="X113" i="2"/>
  <c r="J98" i="2"/>
  <c r="AL122" i="2"/>
  <c r="O99" i="2"/>
  <c r="AF122" i="2"/>
  <c r="AI106" i="2"/>
  <c r="AK117" i="2"/>
  <c r="E103" i="2"/>
  <c r="AK95" i="2"/>
  <c r="AF119" i="2"/>
  <c r="O102" i="2"/>
  <c r="AB118" i="2"/>
  <c r="R104" i="2"/>
  <c r="H103" i="2"/>
  <c r="N117" i="2"/>
  <c r="X124" i="2"/>
  <c r="R120" i="2"/>
  <c r="S109" i="2"/>
  <c r="Z111" i="2"/>
  <c r="AH122" i="2"/>
  <c r="AH103" i="2"/>
  <c r="Q109" i="2"/>
  <c r="M98" i="2"/>
  <c r="AI109" i="2"/>
  <c r="AC102" i="2"/>
  <c r="AG116" i="2"/>
  <c r="AE91" i="2"/>
  <c r="AJ116" i="2"/>
  <c r="AK113" i="2"/>
  <c r="Z122" i="2"/>
  <c r="AB102" i="2"/>
  <c r="K103" i="2"/>
  <c r="AK107" i="2"/>
  <c r="N116" i="2"/>
  <c r="AH108" i="2"/>
  <c r="I114" i="2"/>
  <c r="Y100" i="2"/>
  <c r="AC96" i="2"/>
  <c r="V118" i="2"/>
  <c r="AI97" i="2"/>
  <c r="S102" i="2"/>
  <c r="N102" i="2"/>
  <c r="Q92" i="2"/>
  <c r="W91" i="2"/>
  <c r="I107" i="2"/>
  <c r="J102" i="2"/>
  <c r="AD121" i="2"/>
  <c r="AD119" i="2"/>
  <c r="AJ115" i="2"/>
  <c r="AF111" i="2"/>
  <c r="AK99" i="2"/>
  <c r="L106" i="2"/>
  <c r="P116" i="2"/>
  <c r="S111" i="2"/>
  <c r="M92" i="2"/>
  <c r="S106" i="2"/>
  <c r="I122" i="2"/>
  <c r="O93" i="2"/>
  <c r="Z103" i="2"/>
  <c r="U92" i="2"/>
  <c r="T98" i="2"/>
  <c r="AK109" i="2"/>
  <c r="S97" i="2"/>
  <c r="I106" i="2"/>
  <c r="L98" i="2"/>
  <c r="AK93" i="2"/>
  <c r="AD101" i="2"/>
  <c r="E120" i="2"/>
  <c r="I103" i="2"/>
  <c r="AJ94" i="2"/>
  <c r="N120" i="2"/>
  <c r="J110" i="2"/>
  <c r="AA91" i="2"/>
  <c r="AD116" i="2"/>
  <c r="W120" i="2"/>
  <c r="AE104" i="2"/>
  <c r="AL95" i="2"/>
  <c r="I121" i="2"/>
  <c r="AH112" i="2"/>
  <c r="N96" i="2"/>
  <c r="G100" i="2"/>
  <c r="K98" i="2"/>
  <c r="V121" i="2"/>
  <c r="T122" i="2"/>
  <c r="AI124" i="2"/>
  <c r="Q104" i="2"/>
  <c r="AK101" i="2"/>
  <c r="AF110" i="2"/>
  <c r="AJ109" i="2"/>
  <c r="Y109" i="2"/>
  <c r="I92" i="2"/>
  <c r="N108" i="2"/>
  <c r="U122" i="2"/>
  <c r="Z101" i="2"/>
  <c r="Y110" i="2"/>
  <c r="Z95" i="2"/>
  <c r="J106" i="2"/>
  <c r="AI107" i="2"/>
  <c r="E108" i="2"/>
  <c r="V116" i="2"/>
  <c r="AH117" i="2"/>
  <c r="Z115" i="2"/>
  <c r="J95" i="2"/>
  <c r="S119" i="2"/>
  <c r="P108" i="2"/>
  <c r="Y117" i="2"/>
  <c r="AA92" i="2"/>
  <c r="AG109" i="2"/>
  <c r="R119" i="2"/>
  <c r="AA95" i="2"/>
  <c r="E123" i="2"/>
  <c r="S104" i="2"/>
  <c r="AD124" i="2"/>
  <c r="M99" i="2"/>
  <c r="H122" i="2"/>
  <c r="AC123" i="2"/>
  <c r="AH101" i="2"/>
  <c r="N100" i="2"/>
  <c r="I108" i="2"/>
  <c r="AF93" i="2"/>
  <c r="X99" i="2"/>
  <c r="L94" i="2"/>
  <c r="AJ98" i="2"/>
  <c r="AL113" i="2"/>
  <c r="AG100" i="2"/>
  <c r="I102" i="2"/>
  <c r="E122" i="2"/>
  <c r="AH109" i="2"/>
  <c r="AL124" i="2"/>
  <c r="J116" i="2"/>
  <c r="G97" i="2"/>
  <c r="O122" i="2"/>
  <c r="M91" i="2"/>
  <c r="AL102" i="2"/>
  <c r="V105" i="2"/>
  <c r="L115" i="2"/>
  <c r="R100" i="2"/>
  <c r="X123" i="2"/>
  <c r="Y108" i="2"/>
  <c r="AE112" i="2"/>
  <c r="L107" i="2"/>
  <c r="V109" i="2"/>
  <c r="AJ113" i="2"/>
  <c r="I95" i="2"/>
  <c r="N101" i="2"/>
  <c r="AB120" i="2"/>
  <c r="AB119" i="2"/>
  <c r="AF117" i="2"/>
  <c r="E115" i="2"/>
  <c r="U120" i="2"/>
  <c r="AD108" i="2"/>
  <c r="Q97" i="2"/>
  <c r="J121" i="2"/>
  <c r="M94" i="2"/>
  <c r="AI110" i="2"/>
  <c r="Z116" i="2"/>
  <c r="W95" i="2"/>
  <c r="AF100" i="2"/>
  <c r="AL97" i="2"/>
  <c r="R121" i="2"/>
  <c r="J115" i="2"/>
  <c r="W111" i="2"/>
  <c r="N122" i="2"/>
  <c r="X98" i="2"/>
  <c r="N123" i="2"/>
  <c r="K119" i="2"/>
  <c r="Q115" i="2"/>
  <c r="Y103" i="2"/>
  <c r="Y99" i="2"/>
  <c r="AJ103" i="2"/>
  <c r="S108" i="2"/>
  <c r="O103" i="2"/>
  <c r="AF105" i="2"/>
  <c r="T115" i="2"/>
  <c r="Q96" i="2"/>
  <c r="W103" i="2"/>
  <c r="S117" i="2"/>
  <c r="AI98" i="2"/>
  <c r="AL104" i="2"/>
  <c r="L95" i="2"/>
  <c r="AF116" i="2"/>
  <c r="AA122" i="2"/>
  <c r="Y91" i="2"/>
  <c r="I93" i="2"/>
  <c r="AG93" i="2"/>
  <c r="AJ101" i="2"/>
  <c r="P103" i="2"/>
  <c r="AD98" i="2"/>
  <c r="AG92" i="2"/>
  <c r="E113" i="2"/>
  <c r="R94" i="2"/>
  <c r="AL115" i="2"/>
  <c r="F112" i="2"/>
  <c r="L113" i="2"/>
  <c r="S96" i="2"/>
  <c r="W97" i="2"/>
  <c r="G118" i="2"/>
  <c r="AI119" i="2"/>
  <c r="R113" i="2"/>
  <c r="L92" i="2"/>
  <c r="AA123" i="2"/>
  <c r="W110" i="2"/>
  <c r="R96" i="2"/>
  <c r="Y113" i="2"/>
  <c r="J99" i="2"/>
  <c r="E109" i="2"/>
  <c r="AD114" i="2"/>
  <c r="AB104" i="2"/>
  <c r="AK102" i="2"/>
  <c r="Q93" i="2"/>
  <c r="AE114" i="2"/>
  <c r="J93" i="2"/>
  <c r="AG101" i="2"/>
  <c r="E124" i="2"/>
  <c r="H121" i="2"/>
  <c r="U110" i="2"/>
  <c r="AI96" i="2"/>
  <c r="W116" i="2"/>
  <c r="AL91" i="2"/>
  <c r="L110" i="2"/>
  <c r="R106" i="2"/>
  <c r="H112" i="2"/>
  <c r="G124" i="2"/>
  <c r="AH124" i="2"/>
  <c r="AE102" i="2"/>
  <c r="V114" i="2"/>
  <c r="K93" i="2"/>
  <c r="H105" i="2"/>
  <c r="G120" i="2"/>
  <c r="E106" i="2"/>
  <c r="Y123" i="2"/>
  <c r="AH98" i="2"/>
  <c r="AI114" i="2"/>
  <c r="K99" i="2"/>
  <c r="Z119" i="2"/>
  <c r="AA94" i="2"/>
  <c r="U109" i="2"/>
  <c r="H96" i="2"/>
  <c r="O124" i="2"/>
  <c r="AH113" i="2"/>
  <c r="U116" i="2"/>
  <c r="K118" i="2"/>
  <c r="K116" i="2"/>
  <c r="AK108" i="2"/>
  <c r="AK115" i="2"/>
  <c r="P118" i="2"/>
  <c r="R118" i="2"/>
  <c r="AD111" i="2"/>
  <c r="AH95" i="2"/>
  <c r="G115" i="2"/>
  <c r="H102" i="2"/>
  <c r="AD91" i="2"/>
  <c r="E116" i="2"/>
  <c r="AI105" i="2"/>
  <c r="AA104" i="2"/>
  <c r="V115" i="2"/>
  <c r="AB96" i="2"/>
  <c r="AA96" i="2"/>
  <c r="J100" i="2"/>
  <c r="O98" i="2"/>
  <c r="F117" i="2"/>
  <c r="H116" i="2"/>
  <c r="S120" i="2"/>
  <c r="U104" i="2"/>
  <c r="AF98" i="2"/>
  <c r="L117" i="2"/>
  <c r="AE105" i="2"/>
  <c r="AB116" i="2"/>
  <c r="K94" i="2"/>
  <c r="AK104" i="2"/>
  <c r="U115" i="2"/>
  <c r="AC122" i="2"/>
  <c r="AC112" i="2"/>
  <c r="G101" i="2"/>
  <c r="AJ105" i="2"/>
  <c r="S107" i="2"/>
  <c r="O105" i="2"/>
  <c r="F104" i="2"/>
  <c r="O104" i="2"/>
  <c r="O111" i="2"/>
  <c r="AA101" i="2"/>
  <c r="AE124" i="2"/>
  <c r="M101" i="2"/>
  <c r="Y115" i="2"/>
  <c r="W102" i="2"/>
  <c r="F105" i="2"/>
  <c r="V103" i="2"/>
  <c r="N107" i="2"/>
  <c r="I104" i="2"/>
  <c r="V104" i="2"/>
  <c r="AH91" i="2"/>
  <c r="W112" i="2"/>
  <c r="Y93" i="2"/>
  <c r="T124" i="2"/>
  <c r="O96" i="2"/>
  <c r="AH97" i="2"/>
  <c r="F91" i="2"/>
  <c r="Q91" i="2"/>
  <c r="W99" i="2"/>
  <c r="X111" i="2"/>
  <c r="K108" i="2"/>
  <c r="M111" i="2"/>
  <c r="AL112" i="2"/>
  <c r="F123" i="2"/>
  <c r="AF124" i="2"/>
  <c r="G110" i="2"/>
  <c r="AD110" i="2"/>
  <c r="R101" i="2"/>
  <c r="AD107" i="2"/>
  <c r="E100" i="2"/>
  <c r="E92" i="2"/>
  <c r="T108" i="2"/>
  <c r="AD106" i="2"/>
  <c r="AF106" i="2"/>
  <c r="Z124" i="2"/>
  <c r="N112" i="2"/>
  <c r="Q111" i="2"/>
  <c r="I98" i="2"/>
  <c r="Z91" i="2"/>
  <c r="M96" i="2"/>
  <c r="AE93" i="2"/>
  <c r="G121" i="2"/>
  <c r="R124" i="2"/>
  <c r="R103" i="2"/>
  <c r="AA116" i="2"/>
  <c r="T111" i="2"/>
  <c r="X115" i="2"/>
  <c r="AB115" i="2"/>
  <c r="M122" i="2"/>
  <c r="AA98" i="2"/>
  <c r="AL121" i="2"/>
  <c r="P121" i="2"/>
  <c r="AE118" i="2"/>
  <c r="V93" i="2"/>
  <c r="Y102" i="2"/>
  <c r="U100" i="2"/>
  <c r="O123" i="2"/>
  <c r="X119" i="2"/>
  <c r="H120" i="2"/>
  <c r="V97" i="2"/>
  <c r="Y101" i="2"/>
  <c r="AB117" i="2"/>
  <c r="AE119" i="2"/>
  <c r="AA114" i="2"/>
  <c r="Z99" i="2"/>
  <c r="S103" i="2"/>
  <c r="Y105" i="2"/>
  <c r="T104" i="2"/>
  <c r="S91" i="2"/>
  <c r="O121" i="2"/>
  <c r="N93" i="2"/>
  <c r="AA97" i="2"/>
  <c r="N95" i="2"/>
  <c r="AF112" i="2"/>
  <c r="N94" i="2"/>
  <c r="L100" i="2"/>
  <c r="AC124" i="2"/>
  <c r="AB103" i="2"/>
  <c r="Y96" i="2"/>
  <c r="E102" i="2"/>
  <c r="L111" i="2"/>
  <c r="M113" i="2"/>
  <c r="AD115" i="2"/>
  <c r="R98" i="2"/>
  <c r="O108" i="2"/>
  <c r="AA100" i="2"/>
  <c r="AD112" i="2"/>
  <c r="L124" i="2"/>
  <c r="R110" i="2"/>
  <c r="F102" i="2"/>
  <c r="T109" i="2"/>
  <c r="V123" i="2"/>
  <c r="AL114" i="2"/>
  <c r="F97" i="2"/>
  <c r="AI101" i="2"/>
  <c r="N118" i="2"/>
  <c r="O115" i="2"/>
  <c r="T97" i="2"/>
  <c r="H99" i="2"/>
  <c r="I111" i="2"/>
  <c r="V120" i="2"/>
  <c r="AL103" i="2"/>
  <c r="AL108" i="2"/>
  <c r="F100" i="2"/>
  <c r="Q119" i="2"/>
  <c r="Q122" i="2"/>
  <c r="AA119" i="2"/>
  <c r="Z110" i="2"/>
  <c r="I115" i="2"/>
  <c r="AE95" i="2"/>
  <c r="M116" i="2"/>
  <c r="E101" i="2"/>
  <c r="AA102" i="2"/>
  <c r="R95" i="2"/>
  <c r="AF99" i="2"/>
  <c r="Z96" i="2"/>
  <c r="AI121" i="2"/>
  <c r="K97" i="2"/>
  <c r="T113" i="2"/>
  <c r="G92" i="2"/>
  <c r="Q105" i="2"/>
  <c r="P110" i="2"/>
  <c r="N119" i="2"/>
  <c r="AI113" i="2"/>
  <c r="G112" i="2"/>
  <c r="AK121" i="2"/>
  <c r="N111" i="2"/>
  <c r="H98" i="2"/>
  <c r="G95" i="2"/>
  <c r="AC120" i="2"/>
  <c r="U101" i="2"/>
  <c r="S115" i="2"/>
  <c r="J104" i="2"/>
  <c r="AL92" i="2"/>
  <c r="W119" i="2"/>
  <c r="AK122" i="2"/>
  <c r="E111" i="2"/>
  <c r="AH107" i="2"/>
  <c r="U99" i="2"/>
  <c r="H94" i="2"/>
  <c r="P109" i="2"/>
  <c r="K109" i="2"/>
  <c r="AF114" i="2"/>
  <c r="M124" i="2"/>
  <c r="F110" i="2"/>
  <c r="AI120" i="2"/>
  <c r="H111" i="2"/>
  <c r="Q114" i="2"/>
  <c r="AC93" i="2"/>
  <c r="X109" i="2"/>
  <c r="O95" i="2"/>
  <c r="L119" i="2"/>
  <c r="Q118" i="2"/>
  <c r="AC103" i="2"/>
  <c r="R117" i="2"/>
  <c r="AG94" i="2"/>
  <c r="AD120" i="2"/>
  <c r="AE110" i="2"/>
  <c r="Z108" i="2"/>
  <c r="AE106" i="2"/>
  <c r="AK123" i="2"/>
  <c r="AH118" i="2"/>
  <c r="AA103" i="2"/>
  <c r="V119" i="2"/>
  <c r="F113" i="2"/>
  <c r="Y122" i="2"/>
  <c r="V117" i="2"/>
  <c r="X122" i="2"/>
  <c r="AJ106" i="2"/>
  <c r="J92" i="2"/>
  <c r="M119" i="2"/>
  <c r="AB92" i="2"/>
  <c r="S93" i="2"/>
  <c r="V95" i="2"/>
  <c r="AH92" i="2"/>
  <c r="E104" i="2"/>
  <c r="Y95" i="2"/>
  <c r="Z112" i="2"/>
  <c r="O114" i="2"/>
  <c r="V112" i="2"/>
  <c r="W121" i="2"/>
  <c r="AA118" i="2"/>
  <c r="Z94" i="2"/>
  <c r="AG121" i="2"/>
  <c r="M100" i="2"/>
  <c r="AC94" i="2"/>
  <c r="AJ124" i="2"/>
  <c r="AK96" i="2"/>
  <c r="AC97" i="2"/>
  <c r="Q102" i="2"/>
  <c r="T100" i="2"/>
  <c r="T102" i="2"/>
  <c r="N124" i="2"/>
  <c r="AE121" i="2"/>
  <c r="AG91" i="2"/>
  <c r="J124" i="2"/>
  <c r="K95" i="2"/>
  <c r="AJ91" i="2"/>
  <c r="X107" i="2"/>
  <c r="T110" i="2"/>
  <c r="S92" i="2"/>
  <c r="AC114" i="2"/>
  <c r="L96" i="2"/>
  <c r="M118" i="2"/>
  <c r="AD123" i="2"/>
  <c r="L109" i="2"/>
  <c r="AE98" i="2"/>
  <c r="G119" i="2"/>
  <c r="P100" i="2"/>
  <c r="AJ121" i="2"/>
  <c r="AI123" i="2"/>
  <c r="AJ100" i="2"/>
  <c r="W118" i="2"/>
  <c r="AJ123" i="2"/>
  <c r="W124" i="2"/>
  <c r="AI103" i="2"/>
  <c r="AG104" i="2"/>
  <c r="AC121" i="2"/>
  <c r="U98" i="2"/>
  <c r="AH102" i="2"/>
  <c r="Q123" i="2"/>
  <c r="AC92" i="2"/>
  <c r="Z109" i="2"/>
  <c r="AB93" i="2"/>
  <c r="AB91" i="2"/>
  <c r="O94" i="2"/>
  <c r="AG95" i="2"/>
  <c r="X106" i="2"/>
  <c r="P113" i="2"/>
  <c r="S105" i="2"/>
  <c r="AF109" i="2"/>
  <c r="AE99" i="2"/>
  <c r="N99" i="2"/>
  <c r="R107" i="2"/>
  <c r="AL123" i="2"/>
  <c r="O109" i="2"/>
  <c r="W105" i="2"/>
  <c r="W122" i="2"/>
  <c r="AH114" i="2"/>
  <c r="O92" i="2"/>
  <c r="Q110" i="2"/>
  <c r="AK111" i="2"/>
  <c r="Y124" i="2"/>
  <c r="M110" i="2"/>
  <c r="P91" i="2"/>
  <c r="AD93" i="2"/>
  <c r="X104" i="2"/>
  <c r="P94" i="2"/>
  <c r="AC110" i="2"/>
  <c r="AJ120" i="2"/>
  <c r="AE115" i="2"/>
  <c r="P105" i="2"/>
  <c r="T106" i="2"/>
  <c r="T96" i="2"/>
  <c r="F114" i="2"/>
  <c r="AB105" i="2"/>
  <c r="M104" i="2"/>
  <c r="J96" i="2"/>
  <c r="Q107" i="2"/>
  <c r="P96" i="2"/>
  <c r="Q95" i="2"/>
  <c r="E114" i="2"/>
  <c r="R116" i="2"/>
  <c r="AG102" i="2"/>
  <c r="K124" i="2"/>
  <c r="Q120" i="2"/>
  <c r="E97" i="2"/>
  <c r="W107" i="2"/>
  <c r="AH121" i="2"/>
  <c r="L118" i="2"/>
  <c r="AK112" i="2"/>
  <c r="I112" i="2"/>
  <c r="AE111" i="2"/>
  <c r="AI93" i="2"/>
  <c r="AE122" i="2"/>
  <c r="AB101" i="2"/>
  <c r="V96" i="2"/>
  <c r="AE113" i="2"/>
  <c r="K101" i="2"/>
  <c r="E98" i="2"/>
  <c r="I119" i="2"/>
  <c r="AI91" i="2"/>
  <c r="Y97" i="2"/>
  <c r="P99" i="2"/>
  <c r="S113" i="2"/>
  <c r="F107" i="2"/>
  <c r="I116" i="2"/>
  <c r="AH96" i="2"/>
  <c r="T103" i="2"/>
  <c r="V124" i="2"/>
  <c r="X105" i="2"/>
  <c r="K121" i="2"/>
  <c r="AK106" i="2"/>
  <c r="AA124" i="2"/>
  <c r="E110" i="2"/>
  <c r="F95" i="2"/>
  <c r="N113" i="2"/>
  <c r="W106" i="2"/>
  <c r="S121" i="2"/>
  <c r="V111" i="2"/>
  <c r="Z105" i="2"/>
  <c r="AF104" i="2"/>
  <c r="AD109" i="2"/>
  <c r="Z98" i="2"/>
  <c r="Q94" i="2"/>
  <c r="AJ114" i="2"/>
  <c r="AF103" i="2"/>
  <c r="AJ111" i="2"/>
  <c r="W115" i="2"/>
  <c r="N110" i="2"/>
  <c r="AJ93" i="2"/>
  <c r="G108" i="2"/>
  <c r="W123" i="2"/>
  <c r="AI94" i="2"/>
  <c r="N98" i="2"/>
  <c r="AC99" i="2"/>
  <c r="AH105" i="2"/>
  <c r="P101" i="2"/>
  <c r="E105" i="2"/>
  <c r="AI102" i="2"/>
  <c r="W92" i="2"/>
  <c r="Q106" i="2"/>
  <c r="Q113" i="2"/>
  <c r="H109" i="2"/>
  <c r="U112" i="2"/>
  <c r="I120" i="2"/>
  <c r="AF91" i="2"/>
  <c r="AL109" i="2"/>
  <c r="AF123" i="2"/>
  <c r="X94" i="2"/>
  <c r="Q101" i="2"/>
  <c r="AA121" i="2"/>
  <c r="W100" i="2"/>
  <c r="J114" i="2"/>
  <c r="H92" i="2"/>
  <c r="AE109" i="2"/>
  <c r="I124" i="2"/>
  <c r="AI95" i="2"/>
  <c r="AD99" i="2"/>
  <c r="AA110" i="2"/>
  <c r="F101" i="2"/>
  <c r="AG124" i="2"/>
  <c r="AD102" i="2"/>
  <c r="H104" i="2"/>
  <c r="AA117" i="2"/>
  <c r="E91" i="2"/>
  <c r="AC111" i="2"/>
  <c r="H101" i="2"/>
  <c r="AI108" i="2"/>
  <c r="K117" i="2"/>
  <c r="E112" i="2"/>
  <c r="AK97" i="2"/>
  <c r="AI104" i="2"/>
  <c r="O101" i="2"/>
  <c r="H117" i="2"/>
  <c r="J112" i="2"/>
  <c r="Q124" i="2"/>
  <c r="N121" i="2"/>
  <c r="M120" i="2"/>
  <c r="G109" i="2"/>
  <c r="AL105" i="2"/>
  <c r="G93" i="2"/>
  <c r="AI117" i="2"/>
  <c r="M115" i="2"/>
  <c r="U102" i="2"/>
  <c r="U113" i="2"/>
  <c r="AL100" i="2"/>
  <c r="E95" i="2"/>
  <c r="AC117" i="2"/>
  <c r="P120" i="2"/>
  <c r="U108" i="2"/>
  <c r="K102" i="2"/>
  <c r="M112" i="2"/>
  <c r="X118" i="2"/>
  <c r="E117" i="2"/>
  <c r="K91" i="2"/>
  <c r="AI111" i="2"/>
  <c r="F124" i="2"/>
  <c r="AK119" i="2"/>
  <c r="M103" i="2"/>
  <c r="R114" i="2"/>
  <c r="S98" i="2"/>
  <c r="R102" i="2"/>
  <c r="AE103" i="2"/>
  <c r="AD117" i="2"/>
  <c r="F103" i="2"/>
  <c r="Y116" i="2"/>
  <c r="S114" i="2"/>
  <c r="U119" i="2"/>
  <c r="L121" i="2"/>
  <c r="AK114" i="2"/>
  <c r="F122" i="2"/>
  <c r="O117" i="2"/>
  <c r="T92" i="2"/>
  <c r="H124" i="2"/>
  <c r="O106" i="2"/>
  <c r="AK92" i="2"/>
  <c r="AF108" i="2"/>
  <c r="AG117" i="2"/>
  <c r="AC116" i="2"/>
  <c r="U94" i="2"/>
  <c r="AK94" i="2"/>
  <c r="O97" i="2"/>
  <c r="AG98" i="2"/>
  <c r="O100" i="2"/>
  <c r="F108" i="2"/>
  <c r="H100" i="2"/>
  <c r="J108" i="2"/>
  <c r="N105" i="2"/>
  <c r="AB95" i="2"/>
  <c r="AI115" i="2"/>
  <c r="L91" i="2"/>
  <c r="J119" i="2"/>
  <c r="P93" i="2"/>
  <c r="G102" i="2"/>
  <c r="H110" i="2"/>
  <c r="X101" i="2"/>
  <c r="K110" i="2"/>
  <c r="K120" i="2"/>
  <c r="M114" i="2"/>
  <c r="G113" i="2"/>
  <c r="X117" i="2"/>
  <c r="T105" i="2"/>
  <c r="R91" i="2"/>
  <c r="AC119" i="2"/>
  <c r="AF95" i="2"/>
  <c r="G107" i="2"/>
  <c r="AJ112" i="2"/>
  <c r="AL101" i="2"/>
  <c r="K113" i="2"/>
  <c r="K105" i="2"/>
  <c r="N91" i="2"/>
  <c r="AE94" i="2"/>
  <c r="N104" i="2"/>
  <c r="F106" i="2"/>
  <c r="Y112" i="2"/>
  <c r="F116" i="2"/>
  <c r="V102" i="2"/>
  <c r="E99" i="2"/>
  <c r="AG106" i="2"/>
  <c r="Y121" i="2"/>
  <c r="R111" i="2"/>
  <c r="AC101" i="2"/>
  <c r="L108" i="2"/>
  <c r="H114" i="2"/>
  <c r="E121" i="2"/>
  <c r="H95" i="2"/>
  <c r="O91" i="2"/>
  <c r="AG107" i="2"/>
  <c r="F121" i="2"/>
  <c r="Z121" i="2"/>
  <c r="AB121" i="2"/>
  <c r="AA113" i="2"/>
  <c r="AB100" i="2"/>
  <c r="AC107" i="2"/>
  <c r="AH123" i="2"/>
  <c r="AC113" i="2"/>
  <c r="AL118" i="2"/>
  <c r="V101" i="2"/>
  <c r="R92" i="2"/>
  <c r="T114" i="2"/>
  <c r="AE117" i="2"/>
  <c r="X110" i="2"/>
  <c r="AC108" i="2"/>
  <c r="AG120" i="2"/>
  <c r="AA105" i="2"/>
  <c r="AE120" i="2"/>
  <c r="J107" i="2"/>
  <c r="AG118" i="2"/>
  <c r="AG114" i="2"/>
  <c r="AD92" i="2"/>
  <c r="AG111" i="2"/>
  <c r="R97" i="2"/>
  <c r="AC98" i="2"/>
  <c r="AH111" i="2"/>
  <c r="H93" i="2"/>
  <c r="H123" i="2"/>
  <c r="K111" i="2"/>
  <c r="W96" i="2"/>
  <c r="P119" i="2"/>
  <c r="O120" i="2"/>
  <c r="AE96" i="2"/>
  <c r="E94" i="2"/>
  <c r="X95" i="2"/>
  <c r="M93" i="2"/>
  <c r="P117" i="2"/>
  <c r="P98" i="2"/>
  <c r="AH94" i="2"/>
  <c r="J122" i="2"/>
  <c r="AC100" i="2"/>
  <c r="U123" i="2"/>
  <c r="F93" i="2"/>
  <c r="W113" i="2"/>
  <c r="G122" i="2"/>
  <c r="L122" i="2"/>
  <c r="AA112" i="2"/>
  <c r="K122" i="2"/>
  <c r="G114" i="2"/>
  <c r="AF115" i="2"/>
  <c r="AE100" i="2"/>
  <c r="AB114" i="2"/>
  <c r="F92" i="2"/>
  <c r="K114" i="2"/>
  <c r="J103" i="2"/>
  <c r="W98" i="2"/>
  <c r="Z97" i="2"/>
  <c r="I91" i="2"/>
  <c r="H97" i="2"/>
  <c r="L103" i="2"/>
  <c r="AH115" i="2"/>
  <c r="L99" i="2"/>
  <c r="U124" i="2"/>
  <c r="AF121" i="2"/>
  <c r="J118" i="2"/>
  <c r="AD96" i="2"/>
  <c r="AB106" i="2"/>
  <c r="N97" i="2"/>
  <c r="V92" i="2"/>
  <c r="G91" i="2"/>
  <c r="V106" i="2"/>
  <c r="L104" i="2"/>
  <c r="AH100" i="2"/>
  <c r="R115" i="2"/>
  <c r="T101" i="2"/>
  <c r="P124" i="2"/>
  <c r="I99" i="2"/>
  <c r="S122" i="2"/>
  <c r="F120" i="2"/>
  <c r="Z114" i="2"/>
  <c r="R109" i="2"/>
  <c r="U106" i="2"/>
  <c r="AK120" i="2"/>
  <c r="AA106" i="2"/>
  <c r="AF96" i="2"/>
  <c r="AK103" i="2"/>
  <c r="AJ95" i="2"/>
  <c r="X120" i="2"/>
  <c r="S116" i="2"/>
  <c r="H119" i="2"/>
  <c r="AK105" i="2"/>
  <c r="N106" i="2"/>
  <c r="W101" i="2"/>
  <c r="AH120" i="2"/>
  <c r="AF92" i="2"/>
  <c r="I101" i="2"/>
  <c r="K96" i="2"/>
  <c r="P92" i="2"/>
  <c r="P97" i="2"/>
  <c r="P122" i="2"/>
  <c r="M123" i="2"/>
  <c r="S123" i="2"/>
  <c r="AK98" i="2"/>
  <c r="F109" i="2"/>
  <c r="O116" i="2"/>
  <c r="J120" i="2"/>
  <c r="R93" i="2"/>
  <c r="Q117" i="2"/>
  <c r="V91" i="2"/>
  <c r="R112" i="2"/>
  <c r="AI122" i="2"/>
  <c r="AK110" i="2"/>
  <c r="Z107" i="2"/>
  <c r="X96" i="2"/>
  <c r="AL96" i="2"/>
  <c r="AJ96" i="2"/>
  <c r="U97" i="2"/>
  <c r="AG108" i="2"/>
  <c r="AI112" i="2"/>
  <c r="F94" i="2"/>
  <c r="T93" i="2"/>
  <c r="N103" i="2"/>
  <c r="AJ122" i="2"/>
  <c r="U95" i="2"/>
  <c r="M117" i="2"/>
  <c r="Y92" i="2"/>
  <c r="U96" i="2"/>
  <c r="AE97" i="2"/>
  <c r="T112" i="2"/>
  <c r="G103" i="2"/>
  <c r="Z100" i="2"/>
  <c r="J123" i="2"/>
  <c r="AG113" i="2"/>
  <c r="AJ110" i="2"/>
  <c r="K115" i="2"/>
  <c r="V113" i="2"/>
  <c r="AA109" i="2"/>
  <c r="M102" i="2"/>
  <c r="W94" i="2"/>
  <c r="K123" i="2"/>
  <c r="S124" i="2"/>
  <c r="Y119" i="2"/>
  <c r="V100" i="2"/>
  <c r="AJ92" i="2"/>
  <c r="AL93" i="2"/>
  <c r="J111" i="2"/>
  <c r="H107" i="2"/>
  <c r="K106" i="2"/>
  <c r="M106" i="2"/>
  <c r="I110" i="2"/>
  <c r="AB122" i="2"/>
  <c r="J105" i="2"/>
  <c r="T120" i="2"/>
  <c r="T121" i="2"/>
  <c r="AC109" i="2"/>
  <c r="P104" i="2"/>
  <c r="AB123" i="2"/>
  <c r="P107" i="2"/>
  <c r="Z117" i="2"/>
  <c r="T94" i="2"/>
  <c r="T117" i="2"/>
  <c r="AB110" i="2"/>
  <c r="AJ102" i="2"/>
  <c r="P102" i="2"/>
  <c r="O118" i="2"/>
  <c r="AG99" i="2"/>
  <c r="AH119" i="2"/>
  <c r="P115" i="2"/>
  <c r="L101" i="2"/>
  <c r="L123" i="2"/>
  <c r="L112" i="2"/>
  <c r="K92" i="2"/>
  <c r="AF94" i="2"/>
  <c r="AF118" i="2"/>
  <c r="K100" i="2"/>
  <c r="L114" i="2"/>
  <c r="AH116" i="2"/>
  <c r="X91" i="2"/>
  <c r="AG119" i="2"/>
  <c r="AC118" i="2"/>
  <c r="X93" i="2"/>
  <c r="AD100" i="2"/>
  <c r="AG97" i="2"/>
  <c r="AA107" i="2"/>
  <c r="AC105" i="2"/>
  <c r="AJ118" i="2"/>
  <c r="X97" i="2"/>
  <c r="H106" i="2"/>
  <c r="E107" i="2"/>
  <c r="AG112" i="2"/>
  <c r="AD97" i="2"/>
  <c r="AA93" i="2"/>
  <c r="Q99" i="2"/>
  <c r="X114" i="2"/>
  <c r="J91" i="2"/>
  <c r="E93" i="2"/>
  <c r="Y118" i="2"/>
  <c r="S99" i="2"/>
  <c r="V110" i="2"/>
  <c r="H118" i="2"/>
  <c r="F111" i="2"/>
  <c r="Y98" i="2"/>
  <c r="AF101" i="2"/>
  <c r="U114" i="2"/>
  <c r="AL99" i="2"/>
  <c r="G96" i="2"/>
  <c r="N115" i="2"/>
  <c r="F98" i="2"/>
  <c r="G116" i="2"/>
  <c r="N109" i="2"/>
  <c r="AA99" i="2"/>
  <c r="AB109" i="2"/>
  <c r="P95" i="2"/>
  <c r="S110" i="2"/>
  <c r="I97" i="2"/>
  <c r="AA115" i="2"/>
  <c r="AG115" i="2"/>
  <c r="AK91" i="2"/>
  <c r="T95" i="2"/>
  <c r="L102" i="2"/>
  <c r="V98" i="2"/>
  <c r="M121" i="2"/>
  <c r="AJ119" i="2"/>
  <c r="AC115" i="2"/>
  <c r="S95" i="2"/>
  <c r="AA108" i="2"/>
  <c r="Z120" i="2"/>
  <c r="F118" i="2"/>
  <c r="AA120" i="2"/>
  <c r="AJ108" i="2"/>
  <c r="AK100" i="2"/>
  <c r="J101" i="2"/>
  <c r="AC106" i="2"/>
  <c r="AE92" i="2"/>
  <c r="T107" i="2"/>
  <c r="AG103" i="2"/>
  <c r="AI100" i="2"/>
  <c r="AA111" i="2"/>
  <c r="X108" i="2"/>
  <c r="W109" i="2"/>
  <c r="V122" i="2"/>
  <c r="AJ117" i="2"/>
  <c r="W108" i="2"/>
  <c r="W104" i="2"/>
  <c r="W93" i="2"/>
  <c r="I105" i="2"/>
  <c r="R122" i="2"/>
  <c r="T91" i="2"/>
  <c r="K112" i="2"/>
  <c r="J97" i="2"/>
  <c r="I109" i="2"/>
  <c r="AI92" i="2"/>
  <c r="Z106" i="2"/>
  <c r="G106" i="2"/>
  <c r="AF102" i="2"/>
  <c r="K107" i="2"/>
  <c r="M109" i="2"/>
  <c r="AD103" i="2"/>
  <c r="I113" i="2"/>
  <c r="AL94" i="2"/>
  <c r="AE107" i="2"/>
  <c r="AB94" i="2"/>
  <c r="S100" i="2"/>
  <c r="G123" i="2"/>
  <c r="P111" i="2"/>
  <c r="AH106" i="2"/>
  <c r="O119" i="2"/>
  <c r="AB98" i="2"/>
  <c r="AE116" i="2"/>
  <c r="Q98" i="2"/>
  <c r="AD95" i="2"/>
  <c r="AB99" i="2"/>
  <c r="AH104" i="2"/>
  <c r="I100" i="2"/>
  <c r="AH99" i="2"/>
  <c r="Y120" i="2"/>
  <c r="E118" i="2"/>
  <c r="Q108" i="2"/>
  <c r="AD122" i="2"/>
  <c r="AK124" i="2"/>
  <c r="AL107" i="2"/>
  <c r="I118" i="2"/>
  <c r="AL116" i="2"/>
  <c r="G99" i="2"/>
  <c r="J109" i="2"/>
  <c r="I94" i="2"/>
  <c r="P123" i="2"/>
  <c r="P106" i="2"/>
  <c r="AK116" i="2"/>
  <c r="I117" i="2"/>
  <c r="U103" i="2"/>
  <c r="AE101" i="2"/>
  <c r="Q112" i="2"/>
  <c r="G111" i="2"/>
  <c r="Y104" i="2"/>
  <c r="N114" i="2"/>
  <c r="AJ99" i="2"/>
  <c r="N92" i="2"/>
  <c r="AD113" i="2"/>
  <c r="S118" i="2"/>
  <c r="U118" i="2"/>
  <c r="F115" i="2"/>
  <c r="J113" i="2"/>
  <c r="F119" i="2"/>
  <c r="AF113" i="2"/>
  <c r="AH93" i="2"/>
  <c r="AG123" i="2"/>
  <c r="L116" i="2"/>
  <c r="M105" i="2"/>
  <c r="O110" i="2"/>
  <c r="X100" i="2"/>
  <c r="Q121" i="2"/>
  <c r="AG96" i="2"/>
  <c r="Z102" i="2"/>
  <c r="M108" i="2"/>
  <c r="AD118" i="2"/>
  <c r="AK118" i="2"/>
  <c r="G94" i="2"/>
  <c r="U121" i="2"/>
  <c r="AC104" i="2"/>
  <c r="AL119" i="2"/>
  <c r="Y94" i="2"/>
  <c r="G98" i="2"/>
  <c r="X102" i="2"/>
  <c r="AL111" i="2"/>
  <c r="S94" i="2"/>
  <c r="AB113" i="2"/>
  <c r="AL117" i="2"/>
  <c r="AE108" i="2"/>
  <c r="R108" i="2"/>
  <c r="AJ107" i="2"/>
  <c r="F99" i="2"/>
  <c r="Z104" i="2"/>
  <c r="C6" i="4" l="1" a="1"/>
  <c r="I6" i="4" a="1"/>
  <c r="L6" i="4" a="1"/>
  <c r="F6" i="4" a="1"/>
  <c r="E128" i="2" a="1"/>
  <c r="F6" i="4" l="1"/>
  <c r="H28" i="4"/>
  <c r="F18" i="4"/>
  <c r="G39" i="4"/>
  <c r="G33" i="4"/>
  <c r="F9" i="4"/>
  <c r="H12" i="4"/>
  <c r="H34" i="4"/>
  <c r="G19" i="4"/>
  <c r="H8" i="4"/>
  <c r="F30" i="4"/>
  <c r="F24" i="4"/>
  <c r="H36" i="4"/>
  <c r="F8" i="4"/>
  <c r="G25" i="4"/>
  <c r="F33" i="4"/>
  <c r="F13" i="4"/>
  <c r="H6" i="4"/>
  <c r="H37" i="4"/>
  <c r="G13" i="4"/>
  <c r="G35" i="4"/>
  <c r="G11" i="4"/>
  <c r="H32" i="4"/>
  <c r="G26" i="4"/>
  <c r="H29" i="4"/>
  <c r="H9" i="4"/>
  <c r="G22" i="4"/>
  <c r="G21" i="4"/>
  <c r="G29" i="4"/>
  <c r="G38" i="4"/>
  <c r="F14" i="4"/>
  <c r="F17" i="4"/>
  <c r="G20" i="4"/>
  <c r="F28" i="4"/>
  <c r="G8" i="4"/>
  <c r="F12" i="4"/>
  <c r="F20" i="4"/>
  <c r="G23" i="4"/>
  <c r="H11" i="4"/>
  <c r="H18" i="4"/>
  <c r="H39" i="4"/>
  <c r="H10" i="4"/>
  <c r="G32" i="4"/>
  <c r="H20" i="4"/>
  <c r="G9" i="4"/>
  <c r="H30" i="4"/>
  <c r="F23" i="4"/>
  <c r="G10" i="4"/>
  <c r="G30" i="4"/>
  <c r="F37" i="4"/>
  <c r="G7" i="4"/>
  <c r="F38" i="4"/>
  <c r="F21" i="4"/>
  <c r="H27" i="4"/>
  <c r="F35" i="4"/>
  <c r="F39" i="4"/>
  <c r="H23" i="4"/>
  <c r="G34" i="4"/>
  <c r="G27" i="4"/>
  <c r="G16" i="4"/>
  <c r="G14" i="4"/>
  <c r="F25" i="4"/>
  <c r="F7" i="4"/>
  <c r="H13" i="4"/>
  <c r="H15" i="4"/>
  <c r="F16" i="4"/>
  <c r="F32" i="4"/>
  <c r="F11" i="4"/>
  <c r="H38" i="4"/>
  <c r="H33" i="4"/>
  <c r="H26" i="4"/>
  <c r="F31" i="4"/>
  <c r="F22" i="4"/>
  <c r="F10" i="4"/>
  <c r="G18" i="4"/>
  <c r="H25" i="4"/>
  <c r="H35" i="4"/>
  <c r="G15" i="4"/>
  <c r="H31" i="4"/>
  <c r="F27" i="4"/>
  <c r="H17" i="4"/>
  <c r="G36" i="4"/>
  <c r="H24" i="4"/>
  <c r="H22" i="4"/>
  <c r="G6" i="4"/>
  <c r="F36" i="4"/>
  <c r="F34" i="4"/>
  <c r="G31" i="4"/>
  <c r="F15" i="4"/>
  <c r="H14" i="4"/>
  <c r="F29" i="4"/>
  <c r="G24" i="4"/>
  <c r="H19" i="4"/>
  <c r="H21" i="4"/>
  <c r="G12" i="4"/>
  <c r="H7" i="4"/>
  <c r="G28" i="4"/>
  <c r="F19" i="4"/>
  <c r="G37" i="4"/>
  <c r="G17" i="4"/>
  <c r="F26" i="4"/>
  <c r="H16" i="4"/>
  <c r="I6" i="4"/>
  <c r="I33" i="4"/>
  <c r="I18" i="4"/>
  <c r="K11" i="4"/>
  <c r="I12" i="4"/>
  <c r="J27" i="4"/>
  <c r="I11" i="4"/>
  <c r="J8" i="4"/>
  <c r="J36" i="4"/>
  <c r="K9" i="4"/>
  <c r="I7" i="4"/>
  <c r="J39" i="4"/>
  <c r="K31" i="4"/>
  <c r="J6" i="4"/>
  <c r="K26" i="4"/>
  <c r="I28" i="4"/>
  <c r="J31" i="4"/>
  <c r="I38" i="4"/>
  <c r="I30" i="4"/>
  <c r="I36" i="4"/>
  <c r="K19" i="4"/>
  <c r="K35" i="4"/>
  <c r="K8" i="4"/>
  <c r="I26" i="4"/>
  <c r="J9" i="4"/>
  <c r="I16" i="4"/>
  <c r="J12" i="4"/>
  <c r="K37" i="4"/>
  <c r="K16" i="4"/>
  <c r="I15" i="4"/>
  <c r="K39" i="4"/>
  <c r="K36" i="4"/>
  <c r="K6" i="4"/>
  <c r="I39" i="4"/>
  <c r="K32" i="4"/>
  <c r="I34" i="4"/>
  <c r="J17" i="4"/>
  <c r="K12" i="4"/>
  <c r="I31" i="4"/>
  <c r="K22" i="4"/>
  <c r="K33" i="4"/>
  <c r="J26" i="4"/>
  <c r="I17" i="4"/>
  <c r="J21" i="4"/>
  <c r="I27" i="4"/>
  <c r="I32" i="4"/>
  <c r="J24" i="4"/>
  <c r="J23" i="4"/>
  <c r="J32" i="4"/>
  <c r="K7" i="4"/>
  <c r="K14" i="4"/>
  <c r="K27" i="4"/>
  <c r="I9" i="4"/>
  <c r="K23" i="4"/>
  <c r="J28" i="4"/>
  <c r="J18" i="4"/>
  <c r="I22" i="4"/>
  <c r="K21" i="4"/>
  <c r="K18" i="4"/>
  <c r="J13" i="4"/>
  <c r="J34" i="4"/>
  <c r="K30" i="4"/>
  <c r="I37" i="4"/>
  <c r="J22" i="4"/>
  <c r="K38" i="4"/>
  <c r="K13" i="4"/>
  <c r="J35" i="4"/>
  <c r="J29" i="4"/>
  <c r="J7" i="4"/>
  <c r="K15" i="4"/>
  <c r="K20" i="4"/>
  <c r="J33" i="4"/>
  <c r="J19" i="4"/>
  <c r="I13" i="4"/>
  <c r="I8" i="4"/>
  <c r="J38" i="4"/>
  <c r="J30" i="4"/>
  <c r="K29" i="4"/>
  <c r="I25" i="4"/>
  <c r="J25" i="4"/>
  <c r="J11" i="4"/>
  <c r="K17" i="4"/>
  <c r="K34" i="4"/>
  <c r="J20" i="4"/>
  <c r="K24" i="4"/>
  <c r="I20" i="4"/>
  <c r="I35" i="4"/>
  <c r="J15" i="4"/>
  <c r="J10" i="4"/>
  <c r="K10" i="4"/>
  <c r="I23" i="4"/>
  <c r="K25" i="4"/>
  <c r="I21" i="4"/>
  <c r="J16" i="4"/>
  <c r="I29" i="4"/>
  <c r="I24" i="4"/>
  <c r="J14" i="4"/>
  <c r="I10" i="4"/>
  <c r="I19" i="4"/>
  <c r="I14" i="4"/>
  <c r="K28" i="4"/>
  <c r="J37" i="4"/>
  <c r="L6" i="4"/>
  <c r="N37" i="4"/>
  <c r="N12" i="4"/>
  <c r="N11" i="4"/>
  <c r="N23" i="4"/>
  <c r="N32" i="4"/>
  <c r="L8" i="4"/>
  <c r="L11" i="4"/>
  <c r="N35" i="4"/>
  <c r="L19" i="4"/>
  <c r="L31" i="4"/>
  <c r="L7" i="4"/>
  <c r="N9" i="4"/>
  <c r="N18" i="4"/>
  <c r="N38" i="4"/>
  <c r="L14" i="4"/>
  <c r="M12" i="4"/>
  <c r="N34" i="4"/>
  <c r="M23" i="4"/>
  <c r="L23" i="4"/>
  <c r="L17" i="4"/>
  <c r="M29" i="4"/>
  <c r="L15" i="4"/>
  <c r="N36" i="4"/>
  <c r="N16" i="4"/>
  <c r="N20" i="4"/>
  <c r="M18" i="4"/>
  <c r="L18" i="4"/>
  <c r="M21" i="4"/>
  <c r="M15" i="4"/>
  <c r="M28" i="4"/>
  <c r="M13" i="4"/>
  <c r="N39" i="4"/>
  <c r="M11" i="4"/>
  <c r="M6" i="4"/>
  <c r="M36" i="4"/>
  <c r="L39" i="4"/>
  <c r="N33" i="4"/>
  <c r="M35" i="4"/>
  <c r="M10" i="4"/>
  <c r="M27" i="4"/>
  <c r="M20" i="4"/>
  <c r="N19" i="4"/>
  <c r="L26" i="4"/>
  <c r="N28" i="4"/>
  <c r="N8" i="4"/>
  <c r="N15" i="4"/>
  <c r="L38" i="4"/>
  <c r="L12" i="4"/>
  <c r="L10" i="4"/>
  <c r="L27" i="4"/>
  <c r="L34" i="4"/>
  <c r="M31" i="4"/>
  <c r="M37" i="4"/>
  <c r="M17" i="4"/>
  <c r="L22" i="4"/>
  <c r="M9" i="4"/>
  <c r="M26" i="4"/>
  <c r="M38" i="4"/>
  <c r="L35" i="4"/>
  <c r="L32" i="4"/>
  <c r="N30" i="4"/>
  <c r="M7" i="4"/>
  <c r="N17" i="4"/>
  <c r="N25" i="4"/>
  <c r="M34" i="4"/>
  <c r="M19" i="4"/>
  <c r="L21" i="4"/>
  <c r="N29" i="4"/>
  <c r="M14" i="4"/>
  <c r="L20" i="4"/>
  <c r="M25" i="4"/>
  <c r="N21" i="4"/>
  <c r="L37" i="4"/>
  <c r="N7" i="4"/>
  <c r="L30" i="4"/>
  <c r="N22" i="4"/>
  <c r="L24" i="4"/>
  <c r="M30" i="4"/>
  <c r="M24" i="4"/>
  <c r="M33" i="4"/>
  <c r="N14" i="4"/>
  <c r="N27" i="4"/>
  <c r="N13" i="4"/>
  <c r="L9" i="4"/>
  <c r="L28" i="4"/>
  <c r="M16" i="4"/>
  <c r="L33" i="4"/>
  <c r="L25" i="4"/>
  <c r="M39" i="4"/>
  <c r="N24" i="4"/>
  <c r="M32" i="4"/>
  <c r="N10" i="4"/>
  <c r="N31" i="4"/>
  <c r="M22" i="4"/>
  <c r="M8" i="4"/>
  <c r="L16" i="4"/>
  <c r="N6" i="4"/>
  <c r="L29" i="4"/>
  <c r="L13" i="4"/>
  <c r="L36" i="4"/>
  <c r="N26" i="4"/>
  <c r="C6" i="4"/>
  <c r="D38" i="4"/>
  <c r="E18" i="4"/>
  <c r="C36" i="4"/>
  <c r="C21" i="4"/>
  <c r="D6" i="4"/>
  <c r="C23" i="4"/>
  <c r="E30" i="4"/>
  <c r="C20" i="4"/>
  <c r="D15" i="4"/>
  <c r="C29" i="4"/>
  <c r="C14" i="4"/>
  <c r="E26" i="4"/>
  <c r="D16" i="4"/>
  <c r="E33" i="4"/>
  <c r="E13" i="4"/>
  <c r="D21" i="4"/>
  <c r="E19" i="4"/>
  <c r="E27" i="4"/>
  <c r="C8" i="4"/>
  <c r="E34" i="4"/>
  <c r="D33" i="4"/>
  <c r="E22" i="4"/>
  <c r="C35" i="4"/>
  <c r="C24" i="4"/>
  <c r="E36" i="4"/>
  <c r="C17" i="4"/>
  <c r="E6" i="4"/>
  <c r="E14" i="4"/>
  <c r="D22" i="4"/>
  <c r="D39" i="4"/>
  <c r="E37" i="4"/>
  <c r="C18" i="4"/>
  <c r="D35" i="4"/>
  <c r="D34" i="4"/>
  <c r="E23" i="4"/>
  <c r="D31" i="4"/>
  <c r="E20" i="4"/>
  <c r="C10" i="4"/>
  <c r="D8" i="4"/>
  <c r="E29" i="4"/>
  <c r="C32" i="4"/>
  <c r="E38" i="4"/>
  <c r="D28" i="4"/>
  <c r="D17" i="4"/>
  <c r="C25" i="4"/>
  <c r="C34" i="4"/>
  <c r="D13" i="4"/>
  <c r="C19" i="4"/>
  <c r="E7" i="4"/>
  <c r="E28" i="4"/>
  <c r="D12" i="4"/>
  <c r="E9" i="4"/>
  <c r="C26" i="4"/>
  <c r="D19" i="4"/>
  <c r="C12" i="4"/>
  <c r="D37" i="4"/>
  <c r="E25" i="4"/>
  <c r="C28" i="4"/>
  <c r="D7" i="4"/>
  <c r="D14" i="4"/>
  <c r="E11" i="4"/>
  <c r="C37" i="4"/>
  <c r="E39" i="4"/>
  <c r="C30" i="4"/>
  <c r="D18" i="4"/>
  <c r="D30" i="4"/>
  <c r="D11" i="4"/>
  <c r="C9" i="4"/>
  <c r="D9" i="4"/>
  <c r="D29" i="4"/>
  <c r="C16" i="4"/>
  <c r="E10" i="4"/>
  <c r="D36" i="4"/>
  <c r="C27" i="4"/>
  <c r="E16" i="4"/>
  <c r="C33" i="4"/>
  <c r="C39" i="4"/>
  <c r="E32" i="4"/>
  <c r="D23" i="4"/>
  <c r="C7" i="4"/>
  <c r="E8" i="4"/>
  <c r="E31" i="4"/>
  <c r="C22" i="4"/>
  <c r="D27" i="4"/>
  <c r="D25" i="4"/>
  <c r="D32" i="4"/>
  <c r="E24" i="4"/>
  <c r="C13" i="4"/>
  <c r="D20" i="4"/>
  <c r="E35" i="4"/>
  <c r="D26" i="4"/>
  <c r="E15" i="4"/>
  <c r="C11" i="4"/>
  <c r="D10" i="4"/>
  <c r="E12" i="4"/>
  <c r="C31" i="4"/>
  <c r="E21" i="4"/>
  <c r="D24" i="4"/>
  <c r="C15" i="4"/>
  <c r="C38" i="4"/>
  <c r="E17" i="4"/>
  <c r="J128" i="2"/>
  <c r="H134" i="2"/>
  <c r="AF135" i="2"/>
  <c r="AJ129" i="2"/>
  <c r="E134" i="2"/>
  <c r="P133" i="2"/>
  <c r="AE132" i="2"/>
  <c r="H132" i="2"/>
  <c r="W131" i="2"/>
  <c r="AF130" i="2"/>
  <c r="M130" i="2"/>
  <c r="V129" i="2"/>
  <c r="AE128" i="2"/>
  <c r="AD128" i="2"/>
  <c r="AC128" i="2"/>
  <c r="Q133" i="2"/>
  <c r="P131" i="2"/>
  <c r="AI128" i="2"/>
  <c r="AA134" i="2"/>
  <c r="L132" i="2"/>
  <c r="AE129" i="2"/>
  <c r="AD133" i="2"/>
  <c r="AJ133" i="2"/>
  <c r="AJ132" i="2"/>
  <c r="N135" i="2"/>
  <c r="AA128" i="2"/>
  <c r="U133" i="2"/>
  <c r="AF132" i="2"/>
  <c r="M132" i="2"/>
  <c r="X131" i="2"/>
  <c r="AG130" i="2"/>
  <c r="N130" i="2"/>
  <c r="W129" i="2"/>
  <c r="AF128" i="2"/>
  <c r="L128" i="2"/>
  <c r="K128" i="2"/>
  <c r="E128" i="2"/>
  <c r="AE133" i="2"/>
  <c r="AD131" i="2"/>
  <c r="O129" i="2"/>
  <c r="G135" i="2"/>
  <c r="Z132" i="2"/>
  <c r="K130" i="2"/>
  <c r="K133" i="2"/>
  <c r="U134" i="2"/>
  <c r="AH131" i="2"/>
  <c r="AD134" i="2"/>
  <c r="L135" i="2"/>
  <c r="AG132" i="2"/>
  <c r="N132" i="2"/>
  <c r="Y131" i="2"/>
  <c r="AH130" i="2"/>
  <c r="O130" i="2"/>
  <c r="X129" i="2"/>
  <c r="AL128" i="2"/>
  <c r="M128" i="2"/>
  <c r="AL135" i="2"/>
  <c r="AK135" i="2"/>
  <c r="S128" i="2"/>
  <c r="K134" i="2"/>
  <c r="J132" i="2"/>
  <c r="AC129" i="2"/>
  <c r="U135" i="2"/>
  <c r="F133" i="2"/>
  <c r="T128" i="2"/>
  <c r="S134" i="2"/>
  <c r="AC135" i="2"/>
  <c r="K131" i="2"/>
  <c r="X133" i="2"/>
  <c r="F134" i="2"/>
  <c r="O132" i="2"/>
  <c r="Z131" i="2"/>
  <c r="F131" i="2"/>
  <c r="P130" i="2"/>
  <c r="Y129" i="2"/>
  <c r="E129" i="2"/>
  <c r="N128" i="2"/>
  <c r="Q135" i="2"/>
  <c r="P135" i="2"/>
  <c r="O135" i="2"/>
  <c r="AG128" i="2"/>
  <c r="Y134" i="2"/>
  <c r="X132" i="2"/>
  <c r="I130" i="2"/>
  <c r="AI135" i="2"/>
  <c r="T133" i="2"/>
  <c r="E131" i="2"/>
  <c r="AA135" i="2"/>
  <c r="N133" i="2"/>
  <c r="AB128" i="2"/>
  <c r="R132" i="2"/>
  <c r="V133" i="2"/>
  <c r="AA131" i="2"/>
  <c r="G131" i="2"/>
  <c r="Q130" i="2"/>
  <c r="Z129" i="2"/>
  <c r="F129" i="2"/>
  <c r="O128" i="2"/>
  <c r="R135" i="2"/>
  <c r="AG134" i="2"/>
  <c r="AF134" i="2"/>
  <c r="AE134" i="2"/>
  <c r="M129" i="2"/>
  <c r="E135" i="2"/>
  <c r="AL132" i="2"/>
  <c r="W130" i="2"/>
  <c r="H128" i="2"/>
  <c r="AH133" i="2"/>
  <c r="S131" i="2"/>
  <c r="AL134" i="2"/>
  <c r="AJ131" i="2"/>
  <c r="O131" i="2"/>
  <c r="F135" i="2"/>
  <c r="J130" i="2"/>
  <c r="AD135" i="2"/>
  <c r="K129" i="2"/>
  <c r="I135" i="2"/>
  <c r="AI133" i="2"/>
  <c r="X134" i="2"/>
  <c r="AB132" i="2"/>
  <c r="T131" i="2"/>
  <c r="AB130" i="2"/>
  <c r="I132" i="2"/>
  <c r="AH135" i="2"/>
  <c r="AL130" i="2"/>
  <c r="AG131" i="2"/>
  <c r="AC132" i="2"/>
  <c r="F132" i="2"/>
  <c r="U131" i="2"/>
  <c r="AD130" i="2"/>
  <c r="F130" i="2"/>
  <c r="E130" i="2"/>
  <c r="AL129" i="2"/>
  <c r="W132" i="2"/>
  <c r="V130" i="2"/>
  <c r="G128" i="2"/>
  <c r="AG133" i="2"/>
  <c r="R131" i="2"/>
  <c r="AK128" i="2"/>
  <c r="M135" i="2"/>
  <c r="Z130" i="2"/>
  <c r="AH132" i="2"/>
  <c r="H131" i="2"/>
  <c r="R130" i="2"/>
  <c r="AF129" i="2"/>
  <c r="G129" i="2"/>
  <c r="P128" i="2"/>
  <c r="W135" i="2"/>
  <c r="AH134" i="2"/>
  <c r="O134" i="2"/>
  <c r="J134" i="2"/>
  <c r="I134" i="2"/>
  <c r="AA129" i="2"/>
  <c r="S135" i="2"/>
  <c r="R133" i="2"/>
  <c r="AK130" i="2"/>
  <c r="V128" i="2"/>
  <c r="N134" i="2"/>
  <c r="Y128" i="2"/>
  <c r="V134" i="2"/>
  <c r="G134" i="2"/>
  <c r="AK129" i="2"/>
  <c r="AB131" i="2"/>
  <c r="S130" i="2"/>
  <c r="AG129" i="2"/>
  <c r="H129" i="2"/>
  <c r="Q128" i="2"/>
  <c r="X135" i="2"/>
  <c r="AI134" i="2"/>
  <c r="P134" i="2"/>
  <c r="AA133" i="2"/>
  <c r="Z133" i="2"/>
  <c r="Y133" i="2"/>
  <c r="G130" i="2"/>
  <c r="AG135" i="2"/>
  <c r="AF133" i="2"/>
  <c r="Q131" i="2"/>
  <c r="AJ128" i="2"/>
  <c r="AB134" i="2"/>
  <c r="AI129" i="2"/>
  <c r="AK133" i="2"/>
  <c r="Q132" i="2"/>
  <c r="R129" i="2"/>
  <c r="I131" i="2"/>
  <c r="AH129" i="2"/>
  <c r="I129" i="2"/>
  <c r="R128" i="2"/>
  <c r="Y135" i="2"/>
  <c r="AJ134" i="2"/>
  <c r="Q134" i="2"/>
  <c r="AB133" i="2"/>
  <c r="I133" i="2"/>
  <c r="H133" i="2"/>
  <c r="G133" i="2"/>
  <c r="U130" i="2"/>
  <c r="F128" i="2"/>
  <c r="L134" i="2"/>
  <c r="AE131" i="2"/>
  <c r="P129" i="2"/>
  <c r="H135" i="2"/>
  <c r="AC134" i="2"/>
  <c r="AK131" i="2"/>
  <c r="AI131" i="2"/>
  <c r="N129" i="2"/>
  <c r="Y132" i="2"/>
  <c r="AJ135" i="2"/>
  <c r="W133" i="2"/>
  <c r="AB135" i="2"/>
  <c r="T134" i="2"/>
  <c r="L133" i="2"/>
  <c r="AA132" i="2"/>
  <c r="AL131" i="2"/>
  <c r="N131" i="2"/>
  <c r="M131" i="2"/>
  <c r="L131" i="2"/>
  <c r="AC131" i="2"/>
  <c r="AB129" i="2"/>
  <c r="T135" i="2"/>
  <c r="E133" i="2"/>
  <c r="X130" i="2"/>
  <c r="I128" i="2"/>
  <c r="AI132" i="2"/>
  <c r="M133" i="2"/>
  <c r="E132" i="2"/>
  <c r="AC130" i="2"/>
  <c r="AA130" i="2"/>
  <c r="H130" i="2"/>
  <c r="S133" i="2"/>
  <c r="W128" i="2"/>
  <c r="P132" i="2"/>
  <c r="J131" i="2"/>
  <c r="AE135" i="2"/>
  <c r="T130" i="2"/>
  <c r="J129" i="2"/>
  <c r="X128" i="2"/>
  <c r="Z135" i="2"/>
  <c r="AK134" i="2"/>
  <c r="R134" i="2"/>
  <c r="AC133" i="2"/>
  <c r="J133" i="2"/>
  <c r="U132" i="2"/>
  <c r="T132" i="2"/>
  <c r="S132" i="2"/>
  <c r="AI130" i="2"/>
  <c r="AH128" i="2"/>
  <c r="Z134" i="2"/>
  <c r="K132" i="2"/>
  <c r="AD129" i="2"/>
  <c r="V135" i="2"/>
  <c r="L129" i="2"/>
  <c r="Z128" i="2"/>
  <c r="K135" i="2"/>
  <c r="Y130" i="2"/>
  <c r="W134" i="2"/>
  <c r="AL133" i="2"/>
  <c r="O133" i="2"/>
  <c r="AD132" i="2"/>
  <c r="G132" i="2"/>
  <c r="V131" i="2"/>
  <c r="AE130" i="2"/>
  <c r="L130" i="2"/>
  <c r="U129" i="2"/>
  <c r="T129" i="2"/>
  <c r="S129" i="2"/>
  <c r="AK132" i="2"/>
  <c r="AJ130" i="2"/>
  <c r="U128" i="2"/>
  <c r="M134" i="2"/>
  <c r="AF131" i="2"/>
  <c r="Q129" i="2"/>
  <c r="V132" i="2"/>
  <c r="J135" i="2"/>
  <c r="X25" i="4" l="1"/>
  <c r="Y23" i="4"/>
  <c r="Z23" i="4"/>
  <c r="D40" i="4"/>
  <c r="E40" i="4"/>
  <c r="C40" i="4"/>
  <c r="Q28" i="4" s="1"/>
  <c r="L40" i="4"/>
  <c r="I40" i="4"/>
  <c r="K40" i="4"/>
  <c r="N40" i="4"/>
  <c r="Z14" i="4"/>
  <c r="X21" i="4"/>
  <c r="Y37" i="4"/>
  <c r="Y10" i="4"/>
  <c r="H40" i="4"/>
  <c r="J40" i="4"/>
  <c r="U8" i="4" s="1"/>
  <c r="M40" i="4"/>
  <c r="G40" i="4"/>
  <c r="F40" i="4"/>
  <c r="Q31" i="4" l="1"/>
  <c r="V34" i="4"/>
  <c r="R19" i="4"/>
  <c r="W30" i="4"/>
  <c r="X32" i="4"/>
  <c r="O7" i="4"/>
  <c r="W39" i="4"/>
  <c r="Z17" i="4"/>
  <c r="W18" i="4"/>
  <c r="Z33" i="4"/>
  <c r="X24" i="4"/>
  <c r="U35" i="4"/>
  <c r="X34" i="4"/>
  <c r="Y8" i="4"/>
  <c r="X10" i="4"/>
  <c r="U27" i="4"/>
  <c r="Y32" i="4"/>
  <c r="Z37" i="4"/>
  <c r="Y34" i="4"/>
  <c r="Q19" i="4"/>
  <c r="X26" i="4"/>
  <c r="Z31" i="4"/>
  <c r="Z39" i="4"/>
  <c r="Z20" i="4"/>
  <c r="Z7" i="4"/>
  <c r="U7" i="4"/>
  <c r="X31" i="4"/>
  <c r="U26" i="4"/>
  <c r="V9" i="4"/>
  <c r="V6" i="4"/>
  <c r="V40" i="4" s="1"/>
  <c r="U36" i="4"/>
  <c r="X28" i="4"/>
  <c r="X6" i="4"/>
  <c r="X40" i="4" s="1"/>
  <c r="Z16" i="4"/>
  <c r="W12" i="4"/>
  <c r="U31" i="4"/>
  <c r="V26" i="4"/>
  <c r="V38" i="4"/>
  <c r="Y35" i="4"/>
  <c r="Z35" i="4"/>
  <c r="Y15" i="4"/>
  <c r="T9" i="4"/>
  <c r="Y31" i="4"/>
  <c r="Z22" i="4"/>
  <c r="X15" i="4"/>
  <c r="Y25" i="4"/>
  <c r="Z18" i="4"/>
  <c r="V8" i="4"/>
  <c r="Z15" i="4"/>
  <c r="Z24" i="4"/>
  <c r="X39" i="4"/>
  <c r="Z34" i="4"/>
  <c r="X18" i="4"/>
  <c r="U34" i="4"/>
  <c r="T10" i="4"/>
  <c r="P21" i="4"/>
  <c r="P14" i="4"/>
  <c r="Z26" i="4"/>
  <c r="Y20" i="4"/>
  <c r="X35" i="4"/>
  <c r="V16" i="4"/>
  <c r="P39" i="4"/>
  <c r="O27" i="4"/>
  <c r="P9" i="4"/>
  <c r="X22" i="4"/>
  <c r="Y39" i="4"/>
  <c r="V39" i="4"/>
  <c r="V31" i="4"/>
  <c r="Y14" i="4"/>
  <c r="Z36" i="4"/>
  <c r="U21" i="4"/>
  <c r="P23" i="4"/>
  <c r="T27" i="4"/>
  <c r="O15" i="4"/>
  <c r="S26" i="4"/>
  <c r="R11" i="4"/>
  <c r="R21" i="4"/>
  <c r="S37" i="4"/>
  <c r="T6" i="4"/>
  <c r="T40" i="4" s="1"/>
  <c r="T32" i="4"/>
  <c r="R32" i="4"/>
  <c r="Q35" i="4"/>
  <c r="R36" i="4"/>
  <c r="T30" i="4"/>
  <c r="S11" i="4"/>
  <c r="S20" i="4"/>
  <c r="T36" i="4"/>
  <c r="S17" i="4"/>
  <c r="R28" i="4"/>
  <c r="O20" i="4"/>
  <c r="O6" i="4"/>
  <c r="O40" i="4" s="1"/>
  <c r="Q22" i="4"/>
  <c r="R37" i="4"/>
  <c r="S14" i="4"/>
  <c r="U9" i="4"/>
  <c r="V7" i="4"/>
  <c r="O14" i="4"/>
  <c r="V37" i="4"/>
  <c r="V35" i="4"/>
  <c r="T25" i="4"/>
  <c r="W25" i="4"/>
  <c r="U33" i="4"/>
  <c r="T18" i="4"/>
  <c r="Q14" i="4"/>
  <c r="P10" i="4"/>
  <c r="Q36" i="4"/>
  <c r="O30" i="4"/>
  <c r="O16" i="4"/>
  <c r="P20" i="4"/>
  <c r="Q8" i="4"/>
  <c r="O10" i="4"/>
  <c r="P18" i="4"/>
  <c r="O22" i="4"/>
  <c r="Q29" i="4"/>
  <c r="O29" i="4"/>
  <c r="O34" i="4"/>
  <c r="P8" i="4"/>
  <c r="P12" i="4"/>
  <c r="O32" i="4"/>
  <c r="Q26" i="4"/>
  <c r="P26" i="4"/>
  <c r="O18" i="4"/>
  <c r="O21" i="4"/>
  <c r="P35" i="4"/>
  <c r="P15" i="4"/>
  <c r="Q7" i="4"/>
  <c r="O38" i="4"/>
  <c r="O8" i="4"/>
  <c r="Q23" i="4"/>
  <c r="P32" i="4"/>
  <c r="P6" i="4"/>
  <c r="P40" i="4" s="1"/>
  <c r="Q12" i="4"/>
  <c r="Q10" i="4"/>
  <c r="Q33" i="4"/>
  <c r="P34" i="4"/>
  <c r="Q30" i="4"/>
  <c r="P11" i="4"/>
  <c r="P22" i="4"/>
  <c r="Q16" i="4"/>
  <c r="O24" i="4"/>
  <c r="P36" i="4"/>
  <c r="P25" i="4"/>
  <c r="P28" i="4"/>
  <c r="Q13" i="4"/>
  <c r="Q15" i="4"/>
  <c r="O28" i="4"/>
  <c r="P27" i="4"/>
  <c r="P38" i="4"/>
  <c r="Q11" i="4"/>
  <c r="O9" i="4"/>
  <c r="Q20" i="4"/>
  <c r="P16" i="4"/>
  <c r="O39" i="4"/>
  <c r="Q27" i="4"/>
  <c r="Q17" i="4"/>
  <c r="O33" i="4"/>
  <c r="P13" i="4"/>
  <c r="Q21" i="4"/>
  <c r="O35" i="4"/>
  <c r="Q39" i="4"/>
  <c r="P24" i="4"/>
  <c r="P29" i="4"/>
  <c r="O37" i="4"/>
  <c r="Q6" i="4"/>
  <c r="Q40" i="4" s="1"/>
  <c r="P7" i="4"/>
  <c r="Q38" i="4"/>
  <c r="O19" i="4"/>
  <c r="P33" i="4"/>
  <c r="O25" i="4"/>
  <c r="O26" i="4"/>
  <c r="Q34" i="4"/>
  <c r="Q32" i="4"/>
  <c r="O17" i="4"/>
  <c r="Q24" i="4"/>
  <c r="O12" i="4"/>
  <c r="Q25" i="4"/>
  <c r="Q37" i="4"/>
  <c r="P17" i="4"/>
  <c r="O11" i="4"/>
  <c r="R31" i="4"/>
  <c r="T37" i="4"/>
  <c r="S10" i="4"/>
  <c r="W27" i="4"/>
  <c r="W19" i="4"/>
  <c r="V19" i="4"/>
  <c r="V17" i="4"/>
  <c r="W14" i="4"/>
  <c r="W8" i="4"/>
  <c r="U19" i="4"/>
  <c r="V24" i="4"/>
  <c r="V15" i="4"/>
  <c r="U39" i="4"/>
  <c r="U18" i="4"/>
  <c r="V28" i="4"/>
  <c r="V20" i="4"/>
  <c r="W6" i="4"/>
  <c r="W40" i="4" s="1"/>
  <c r="V27" i="4"/>
  <c r="W33" i="4"/>
  <c r="W10" i="4"/>
  <c r="U38" i="4"/>
  <c r="W29" i="4"/>
  <c r="U15" i="4"/>
  <c r="W28" i="4"/>
  <c r="V11" i="4"/>
  <c r="V36" i="4"/>
  <c r="W24" i="4"/>
  <c r="U13" i="4"/>
  <c r="U14" i="4"/>
  <c r="U24" i="4"/>
  <c r="U11" i="4"/>
  <c r="W32" i="4"/>
  <c r="V23" i="4"/>
  <c r="W23" i="4"/>
  <c r="U28" i="4"/>
  <c r="V32" i="4"/>
  <c r="W20" i="4"/>
  <c r="W37" i="4"/>
  <c r="V13" i="4"/>
  <c r="U20" i="4"/>
  <c r="V12" i="4"/>
  <c r="U22" i="4"/>
  <c r="U32" i="4"/>
  <c r="U37" i="4"/>
  <c r="W31" i="4"/>
  <c r="U17" i="4"/>
  <c r="W36" i="4"/>
  <c r="W21" i="4"/>
  <c r="V21" i="4"/>
  <c r="W11" i="4"/>
  <c r="U29" i="4"/>
  <c r="V25" i="4"/>
  <c r="U6" i="4"/>
  <c r="U40" i="4" s="1"/>
  <c r="U23" i="4"/>
  <c r="W22" i="4"/>
  <c r="W13" i="4"/>
  <c r="W35" i="4"/>
  <c r="W15" i="4"/>
  <c r="U30" i="4"/>
  <c r="V33" i="4"/>
  <c r="U10" i="4"/>
  <c r="U12" i="4"/>
  <c r="V30" i="4"/>
  <c r="V18" i="4"/>
  <c r="W17" i="4"/>
  <c r="W16" i="4"/>
  <c r="V29" i="4"/>
  <c r="W26" i="4"/>
  <c r="W7" i="4"/>
  <c r="W34" i="4"/>
  <c r="R8" i="4"/>
  <c r="S18" i="4"/>
  <c r="R20" i="4"/>
  <c r="T13" i="4"/>
  <c r="T7" i="4"/>
  <c r="T14" i="4"/>
  <c r="T22" i="4"/>
  <c r="S36" i="4"/>
  <c r="S13" i="4"/>
  <c r="T20" i="4"/>
  <c r="S6" i="4"/>
  <c r="S40" i="4" s="1"/>
  <c r="S28" i="4"/>
  <c r="R29" i="4"/>
  <c r="R9" i="4"/>
  <c r="S38" i="4"/>
  <c r="T28" i="4"/>
  <c r="T23" i="4"/>
  <c r="T39" i="4"/>
  <c r="R38" i="4"/>
  <c r="T8" i="4"/>
  <c r="T31" i="4"/>
  <c r="S24" i="4"/>
  <c r="S27" i="4"/>
  <c r="S23" i="4"/>
  <c r="S15" i="4"/>
  <c r="T33" i="4"/>
  <c r="S22" i="4"/>
  <c r="R24" i="4"/>
  <c r="R17" i="4"/>
  <c r="S32" i="4"/>
  <c r="T11" i="4"/>
  <c r="R34" i="4"/>
  <c r="S29" i="4"/>
  <c r="T15" i="4"/>
  <c r="R39" i="4"/>
  <c r="T24" i="4"/>
  <c r="R35" i="4"/>
  <c r="S33" i="4"/>
  <c r="R27" i="4"/>
  <c r="T35" i="4"/>
  <c r="S31" i="4"/>
  <c r="R33" i="4"/>
  <c r="T26" i="4"/>
  <c r="S21" i="4"/>
  <c r="R16" i="4"/>
  <c r="S39" i="4"/>
  <c r="R26" i="4"/>
  <c r="T19" i="4"/>
  <c r="T17" i="4"/>
  <c r="R10" i="4"/>
  <c r="T29" i="4"/>
  <c r="R15" i="4"/>
  <c r="S7" i="4"/>
  <c r="T38" i="4"/>
  <c r="R7" i="4"/>
  <c r="S30" i="4"/>
  <c r="S8" i="4"/>
  <c r="T16" i="4"/>
  <c r="S35" i="4"/>
  <c r="R22" i="4"/>
  <c r="S25" i="4"/>
  <c r="T21" i="4"/>
  <c r="T12" i="4"/>
  <c r="S16" i="4"/>
  <c r="R6" i="4"/>
  <c r="R40" i="4" s="1"/>
  <c r="O13" i="4"/>
  <c r="R30" i="4"/>
  <c r="S34" i="4"/>
  <c r="S19" i="4"/>
  <c r="O23" i="4"/>
  <c r="R18" i="4"/>
  <c r="T34" i="4"/>
  <c r="R13" i="4"/>
  <c r="S12" i="4"/>
  <c r="R14" i="4"/>
  <c r="R12" i="4"/>
  <c r="R23" i="4"/>
  <c r="S9" i="4"/>
  <c r="W38" i="4"/>
  <c r="U16" i="4"/>
  <c r="R25" i="4"/>
  <c r="P31" i="4"/>
  <c r="V22" i="4"/>
  <c r="U25" i="4"/>
  <c r="P19" i="4"/>
  <c r="V10" i="4"/>
  <c r="V14" i="4"/>
  <c r="O31" i="4"/>
  <c r="Q9" i="4"/>
  <c r="Q18" i="4"/>
  <c r="O36" i="4"/>
  <c r="P30" i="4"/>
  <c r="P37" i="4"/>
  <c r="W9" i="4"/>
  <c r="Z32" i="4"/>
  <c r="Z6" i="4"/>
  <c r="Z40" i="4" s="1"/>
  <c r="Z28" i="4"/>
  <c r="Y11" i="4"/>
  <c r="Y22" i="4"/>
  <c r="Y28" i="4"/>
  <c r="X30" i="4"/>
  <c r="X27" i="4"/>
  <c r="Z13" i="4"/>
  <c r="Z9" i="4"/>
  <c r="Y21" i="4"/>
  <c r="Y12" i="4"/>
  <c r="X8" i="4"/>
  <c r="Y18" i="4"/>
  <c r="Z11" i="4"/>
  <c r="X17" i="4"/>
  <c r="Y27" i="4"/>
  <c r="Y9" i="4"/>
  <c r="Y17" i="4"/>
  <c r="X37" i="4"/>
  <c r="X20" i="4"/>
  <c r="Y26" i="4"/>
  <c r="Y6" i="4"/>
  <c r="Y40" i="4" s="1"/>
  <c r="X11" i="4"/>
  <c r="Z12" i="4"/>
  <c r="Z29" i="4"/>
  <c r="Z21" i="4"/>
  <c r="X29" i="4"/>
  <c r="X13" i="4"/>
  <c r="Z19" i="4"/>
  <c r="Z8" i="4"/>
  <c r="Y16" i="4"/>
  <c r="Z30" i="4"/>
  <c r="X12" i="4"/>
  <c r="Z27" i="4"/>
  <c r="Z38" i="4"/>
  <c r="X33" i="4"/>
  <c r="Z25" i="4"/>
  <c r="X9" i="4"/>
  <c r="X23" i="4"/>
  <c r="Y30" i="4"/>
  <c r="Y19" i="4"/>
  <c r="Z10" i="4"/>
  <c r="X14" i="4"/>
  <c r="Y29" i="4"/>
  <c r="Y38" i="4"/>
  <c r="Y7" i="4"/>
  <c r="Y36" i="4"/>
  <c r="X7" i="4"/>
  <c r="X36" i="4"/>
  <c r="X16" i="4"/>
  <c r="X19" i="4"/>
  <c r="Y13" i="4"/>
  <c r="Y24" i="4"/>
  <c r="Y33" i="4"/>
  <c r="X38" i="4"/>
</calcChain>
</file>

<file path=xl/sharedStrings.xml><?xml version="1.0" encoding="utf-8"?>
<sst xmlns="http://schemas.openxmlformats.org/spreadsheetml/2006/main" count="570" uniqueCount="132">
  <si>
    <t>PARAMÈTRES</t>
  </si>
  <si>
    <t>Caractéristiques des centrales électriques</t>
  </si>
  <si>
    <t>Parc éolien</t>
  </si>
  <si>
    <t>Parc photovoltaïque</t>
  </si>
  <si>
    <t>Centrale nucléaire</t>
  </si>
  <si>
    <t>Durée de vie</t>
  </si>
  <si>
    <t>ans</t>
  </si>
  <si>
    <t>MATRICES ACV (DONNÉES D'ENTRÉE)</t>
  </si>
  <si>
    <t>A (activités)</t>
  </si>
  <si>
    <t>activité</t>
  </si>
  <si>
    <t>unité</t>
  </si>
  <si>
    <t>kWh</t>
  </si>
  <si>
    <t>électricité éolienne</t>
  </si>
  <si>
    <t>électricité nucléaire</t>
  </si>
  <si>
    <t>électricité photovoltaïque</t>
  </si>
  <si>
    <t>Nom</t>
  </si>
  <si>
    <t>centrale photovoltaïque</t>
  </si>
  <si>
    <t>panneau photovoltaïque</t>
  </si>
  <si>
    <t>onduleur</t>
  </si>
  <si>
    <t>électricité du réseau, France</t>
  </si>
  <si>
    <t>électricité du réseau, Allemagne</t>
  </si>
  <si>
    <t>électricité du réseau, Chine</t>
  </si>
  <si>
    <t>m2</t>
  </si>
  <si>
    <t>Puissance crête</t>
  </si>
  <si>
    <t>Caractéristiques des composants</t>
  </si>
  <si>
    <t>Panneau photovoltaïque</t>
  </si>
  <si>
    <t>Éolienne</t>
  </si>
  <si>
    <t>-</t>
  </si>
  <si>
    <t>Capacité installée</t>
  </si>
  <si>
    <t>MW (ou MWc)</t>
  </si>
  <si>
    <t>Wc/m2 ou /éolienne</t>
  </si>
  <si>
    <t>Nombre d'éléments</t>
  </si>
  <si>
    <t>acier</t>
  </si>
  <si>
    <t>fonte</t>
  </si>
  <si>
    <t>aluminium</t>
  </si>
  <si>
    <t>verre</t>
  </si>
  <si>
    <t>peinture</t>
  </si>
  <si>
    <t>plastiques</t>
  </si>
  <si>
    <t>gomme</t>
  </si>
  <si>
    <t>lubrifiant</t>
  </si>
  <si>
    <t>cuivre</t>
  </si>
  <si>
    <t>métaux non ferreux</t>
  </si>
  <si>
    <t>électronique</t>
  </si>
  <si>
    <t>kg</t>
  </si>
  <si>
    <t>électricité hydroélectrique</t>
  </si>
  <si>
    <t>électricité au charbon</t>
  </si>
  <si>
    <t>électricité au gaz</t>
  </si>
  <si>
    <t>électricité, autre</t>
  </si>
  <si>
    <t>éolienne</t>
  </si>
  <si>
    <t>structure panneaux photovoltaïques</t>
  </si>
  <si>
    <t>silicium raffiné</t>
  </si>
  <si>
    <t>chaleur, gaz</t>
  </si>
  <si>
    <t>MJ</t>
  </si>
  <si>
    <t>parc éolien</t>
  </si>
  <si>
    <t>centrale nucléaire</t>
  </si>
  <si>
    <t>uranium enrichi</t>
  </si>
  <si>
    <t>minerai d'uranium</t>
  </si>
  <si>
    <t>B (biosphère)</t>
  </si>
  <si>
    <t>substance</t>
  </si>
  <si>
    <t>CO2</t>
  </si>
  <si>
    <t>CH4</t>
  </si>
  <si>
    <t>Énergie primaire</t>
  </si>
  <si>
    <t>Lithium</t>
  </si>
  <si>
    <t>Cuivre</t>
  </si>
  <si>
    <t>Acier</t>
  </si>
  <si>
    <t>Aluminium</t>
  </si>
  <si>
    <t>France, scénario tendanciel, 2020</t>
  </si>
  <si>
    <t>France, scénario tendanciel, 2030</t>
  </si>
  <si>
    <t>France, scénario tendanciel, 2040</t>
  </si>
  <si>
    <t>France, scénario tendanciel, 2050</t>
  </si>
  <si>
    <t>Allemagne, scénario tendanciel, 2020</t>
  </si>
  <si>
    <t>Allemagne, scénario tendanciel, 2030</t>
  </si>
  <si>
    <t>Allemagne, scénario tendanciel, 2040</t>
  </si>
  <si>
    <t>Allemagne, scénario tendanciel, 2050</t>
  </si>
  <si>
    <t>France, scénario optimiste, 2020</t>
  </si>
  <si>
    <t>France, scénario optimiste, 2030</t>
  </si>
  <si>
    <t>France, scénario optimiste, 2040</t>
  </si>
  <si>
    <t>France, scénario optimiste, 2050</t>
  </si>
  <si>
    <t>Allemagne, scénario optimiste, 2020</t>
  </si>
  <si>
    <t>Allemagne, scénario optimiste, 2030</t>
  </si>
  <si>
    <t>Allemagne, scénario optimiste, 2040</t>
  </si>
  <si>
    <t>Allemagne, scénario optimiste, 2050</t>
  </si>
  <si>
    <t>Source</t>
  </si>
  <si>
    <t>https://climate.ec.europa.eu/system/files/2020-09/2020_study_main_report_en.pdf</t>
  </si>
  <si>
    <t>Chine, 2024</t>
  </si>
  <si>
    <t>https://ember-energy.org/countries-and-regions/china/</t>
  </si>
  <si>
    <t>L (inverse de Leontief, demande de cycle de vie)</t>
  </si>
  <si>
    <t>Production totale</t>
  </si>
  <si>
    <t>E (inventaire des flux élémentaires)</t>
  </si>
  <si>
    <t>TJ/kg</t>
  </si>
  <si>
    <t>thermique</t>
  </si>
  <si>
    <t>électrique</t>
  </si>
  <si>
    <t>GWh/kg</t>
  </si>
  <si>
    <t>béton</t>
  </si>
  <si>
    <t>m3</t>
  </si>
  <si>
    <t>m2 panneaux ou éoliennes ou centrale</t>
  </si>
  <si>
    <t>diesel, combustion</t>
  </si>
  <si>
    <t>Contenu énergétique uranium 235</t>
  </si>
  <si>
    <t>Taux d'enrichissement</t>
  </si>
  <si>
    <t>Contenu énergétique par kg de combustible nucléaire</t>
  </si>
  <si>
    <t>Rendement (thermique-&gt;électrique)</t>
  </si>
  <si>
    <t>Production annuelle (en heures à pleine charge)</t>
  </si>
  <si>
    <t>heures/an (ou kWh/kWc par an)</t>
  </si>
  <si>
    <t>Calculer la production totale sur la durée de vie de chaque infrastructure (PV, éolien, nucléaire)</t>
  </si>
  <si>
    <t>Calculer le contenu énergétique d'1 kg d'uranium 235, et d'1 kg d'uranium enrichi à 5% (=95% U-238 + 5% U-235)</t>
  </si>
  <si>
    <t>Remplir la demande finale en infrastructure dans les trois premières colonnes de la matrice A</t>
  </si>
  <si>
    <t>Remplir la demande intermédiaire en panneaux PV (et structures) et éoliennes</t>
  </si>
  <si>
    <t>Choisir les mix électriques France, Allemagne</t>
  </si>
  <si>
    <t>Chine, 2050</t>
  </si>
  <si>
    <t>https://www.enerdata.net/publications/daily-energy-news/renewables-could-represent-86-chinas-power-mix-2050.html</t>
  </si>
  <si>
    <t>minerai d'uranium, pour contenu uranium</t>
  </si>
  <si>
    <t>Utilisation des sols</t>
  </si>
  <si>
    <t>Déterminer la production annuelle d'1 kWc de PV installé en France sur https://re.jrc.ec.europa.eu/pvg_tools/fr/</t>
  </si>
  <si>
    <t>Calculer le nombre d'unités de production par parc (PV, éolien)</t>
  </si>
  <si>
    <t>indicateur</t>
  </si>
  <si>
    <t>GES</t>
  </si>
  <si>
    <t>kg CO2 eq.</t>
  </si>
  <si>
    <t>Matériaux</t>
  </si>
  <si>
    <t>kg Sb eq.</t>
  </si>
  <si>
    <t>Emprise au sol</t>
  </si>
  <si>
    <t>C (caractérisation)</t>
  </si>
  <si>
    <t>D</t>
  </si>
  <si>
    <t>MATRICES ACV (RÉSULTATS)</t>
  </si>
  <si>
    <t>MATRICES ACV (CALCULS INTERMÉDIAIRES)</t>
  </si>
  <si>
    <t>Calculer les impacts de cycle de vie, caractérisés</t>
  </si>
  <si>
    <t>Résultats absolus</t>
  </si>
  <si>
    <t>Changement climatique (g CO2 eq.)</t>
  </si>
  <si>
    <t>total</t>
  </si>
  <si>
    <t>C*B (facteurs caractérisés)</t>
  </si>
  <si>
    <t>Emprise au sol (100 m2)</t>
  </si>
  <si>
    <t>Énergie primaire (MJ)</t>
  </si>
  <si>
    <r>
      <t xml:space="preserve">Matériaux (10 </t>
    </r>
    <r>
      <rPr>
        <sz val="8"/>
        <color theme="1"/>
        <rFont val="Calibri"/>
        <family val="2"/>
      </rPr>
      <t>μ</t>
    </r>
    <r>
      <rPr>
        <sz val="8"/>
        <color theme="1"/>
        <rFont val="Arial Nova"/>
        <family val="2"/>
      </rPr>
      <t>g Sb eq.)</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</si>
</sst>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E+00"/>
    <numFmt numFmtId="166" formatCode="0E+00"/>
    <numFmt numFmtId="167" formatCode="0.000"/>
    <numFmt numFmtId="168" formatCode="0.00000000"/>
  </numFmts>
  <fonts count="8" x14ac:knownFonts="1">
    <font>
      <sz val="11"/>
      <color theme="1"/>
      <name val="Aptos Narrow"/>
      <family val="2"/>
      <scheme val="minor"/>
    </font>
    <font>
      <sz val="11"/>
      <color theme="1"/>
      <name val="Aptos Narrow"/>
      <family val="2"/>
      <scheme val="minor"/>
    </font>
    <font>
      <sz val="8"/>
      <color theme="1"/>
      <name val="Arial Nova"/>
      <family val="2"/>
    </font>
    <font>
      <b/>
      <sz val="8"/>
      <color theme="1"/>
      <name val="Arial Nova"/>
      <family val="2"/>
    </font>
    <font>
      <sz val="8"/>
      <color theme="1"/>
      <name val="Aptos Narrow"/>
      <family val="2"/>
      <scheme val="minor"/>
    </font>
    <font>
      <b/>
      <sz val="8"/>
      <color theme="1"/>
      <name val="Aptos Narrow"/>
      <family val="2"/>
      <scheme val="minor"/>
    </font>
    <font>
      <u/>
      <sz val="11"/>
      <color theme="10"/>
      <name val="Aptos Narrow"/>
      <family val="2"/>
      <scheme val="minor"/>
    </font>
    <font>
      <sz val="8"/>
      <color theme="1"/>
      <name val="Calibri"/>
      <family val="2"/>
    </font>
  </fonts>
  <fills count="9">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s>
  <borders count="23">
    <border>
      <left/>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9" fontId="1" fillId="0" borderId="0" applyFont="0" applyFill="0" applyBorder="0" applyAlignment="0" applyProtection="0"/>
    <xf numFmtId="0" fontId="6" fillId="0" borderId="0" applyNumberFormat="0" applyFill="0" applyBorder="0" applyAlignment="0" applyProtection="0"/>
  </cellStyleXfs>
  <cellXfs count="173">
    <xf numFmtId="0" fontId="0" fillId="0" borderId="0" xfId="0"/>
    <xf numFmtId="0" fontId="2" fillId="0" borderId="0" xfId="0" applyFont="1"/>
    <xf numFmtId="0" fontId="3" fillId="0" borderId="1" xfId="0" applyFont="1" applyBorder="1"/>
    <xf numFmtId="0" fontId="2" fillId="0" borderId="2" xfId="0" applyFont="1" applyBorder="1"/>
    <xf numFmtId="0" fontId="3" fillId="0" borderId="2" xfId="0" applyFont="1" applyBorder="1"/>
    <xf numFmtId="0" fontId="4" fillId="0" borderId="0" xfId="0" applyFont="1"/>
    <xf numFmtId="0" fontId="3" fillId="0" borderId="0" xfId="0" applyFont="1"/>
    <xf numFmtId="0" fontId="5" fillId="0" borderId="1" xfId="0" applyFont="1" applyBorder="1"/>
    <xf numFmtId="0" fontId="5" fillId="0" borderId="0" xfId="0" applyFont="1"/>
    <xf numFmtId="0" fontId="4" fillId="0" borderId="2" xfId="0" applyFont="1" applyBorder="1"/>
    <xf numFmtId="0" fontId="5" fillId="0" borderId="2" xfId="0" applyFont="1" applyBorder="1"/>
    <xf numFmtId="0" fontId="4" fillId="0" borderId="3" xfId="0" applyFont="1" applyBorder="1"/>
    <xf numFmtId="0" fontId="2" fillId="0" borderId="4" xfId="0" applyFont="1" applyBorder="1"/>
    <xf numFmtId="0" fontId="4" fillId="0" borderId="0" xfId="0" applyFont="1" applyAlignment="1">
      <alignment textRotation="90"/>
    </xf>
    <xf numFmtId="0" fontId="4" fillId="3" borderId="0" xfId="0" applyFont="1" applyFill="1" applyAlignment="1">
      <alignment textRotation="90"/>
    </xf>
    <xf numFmtId="0" fontId="4" fillId="5" borderId="0" xfId="0" applyFont="1" applyFill="1"/>
    <xf numFmtId="0" fontId="4" fillId="3" borderId="0" xfId="0" applyFont="1" applyFill="1"/>
    <xf numFmtId="0" fontId="4" fillId="0" borderId="6" xfId="0" applyFont="1" applyBorder="1"/>
    <xf numFmtId="0" fontId="4" fillId="0" borderId="7" xfId="0" applyFont="1" applyBorder="1"/>
    <xf numFmtId="0" fontId="4" fillId="0" borderId="8" xfId="0" applyFont="1" applyBorder="1"/>
    <xf numFmtId="0" fontId="4" fillId="0" borderId="9" xfId="0" applyFont="1" applyBorder="1"/>
    <xf numFmtId="0" fontId="4" fillId="0" borderId="10" xfId="0" applyFont="1" applyBorder="1"/>
    <xf numFmtId="0" fontId="4" fillId="0" borderId="11" xfId="0" applyFont="1" applyBorder="1"/>
    <xf numFmtId="0" fontId="4" fillId="0" borderId="12" xfId="0" applyFont="1" applyBorder="1"/>
    <xf numFmtId="0" fontId="4" fillId="0" borderId="13" xfId="0" applyFont="1" applyBorder="1"/>
    <xf numFmtId="0" fontId="4" fillId="6" borderId="0" xfId="0" applyFont="1" applyFill="1"/>
    <xf numFmtId="0" fontId="2" fillId="2" borderId="7" xfId="0" applyFont="1" applyFill="1" applyBorder="1"/>
    <xf numFmtId="0" fontId="2" fillId="2" borderId="12" xfId="0" applyFont="1" applyFill="1" applyBorder="1"/>
    <xf numFmtId="0" fontId="4" fillId="2" borderId="14" xfId="0" applyFont="1" applyFill="1" applyBorder="1"/>
    <xf numFmtId="0" fontId="2" fillId="0" borderId="0" xfId="0" applyFont="1" applyAlignment="1">
      <alignment wrapText="1"/>
    </xf>
    <xf numFmtId="9" fontId="2" fillId="0" borderId="0" xfId="1" applyFont="1"/>
    <xf numFmtId="0" fontId="6" fillId="0" borderId="0" xfId="2"/>
    <xf numFmtId="9" fontId="4" fillId="0" borderId="0" xfId="0" applyNumberFormat="1" applyFont="1"/>
    <xf numFmtId="9" fontId="4" fillId="0" borderId="0" xfId="1" applyFont="1" applyBorder="1"/>
    <xf numFmtId="164" fontId="4" fillId="2" borderId="5" xfId="0" applyNumberFormat="1" applyFont="1" applyFill="1" applyBorder="1"/>
    <xf numFmtId="165" fontId="4" fillId="2" borderId="15" xfId="0" applyNumberFormat="1" applyFont="1" applyFill="1" applyBorder="1"/>
    <xf numFmtId="164" fontId="4" fillId="0" borderId="7" xfId="0" applyNumberFormat="1" applyFont="1" applyBorder="1"/>
    <xf numFmtId="164" fontId="4" fillId="0" borderId="8" xfId="0" applyNumberFormat="1" applyFont="1" applyBorder="1"/>
    <xf numFmtId="164" fontId="4" fillId="0" borderId="9" xfId="0" applyNumberFormat="1" applyFont="1" applyBorder="1"/>
    <xf numFmtId="164" fontId="4" fillId="0" borderId="0" xfId="0" applyNumberFormat="1" applyFont="1"/>
    <xf numFmtId="164" fontId="4" fillId="0" borderId="10" xfId="0" applyNumberFormat="1" applyFont="1" applyBorder="1"/>
    <xf numFmtId="164" fontId="4" fillId="3" borderId="0" xfId="0" applyNumberFormat="1" applyFont="1" applyFill="1"/>
    <xf numFmtId="164" fontId="4" fillId="6" borderId="0" xfId="0" applyNumberFormat="1" applyFont="1" applyFill="1"/>
    <xf numFmtId="164" fontId="4" fillId="5" borderId="0" xfId="0" applyNumberFormat="1" applyFont="1" applyFill="1"/>
    <xf numFmtId="164" fontId="4" fillId="0" borderId="0" xfId="1" applyNumberFormat="1" applyFont="1" applyBorder="1"/>
    <xf numFmtId="164" fontId="4" fillId="0" borderId="12" xfId="0" applyNumberFormat="1" applyFont="1" applyBorder="1"/>
    <xf numFmtId="164" fontId="4" fillId="0" borderId="13" xfId="0" applyNumberFormat="1" applyFont="1" applyBorder="1"/>
    <xf numFmtId="1" fontId="4" fillId="2" borderId="14" xfId="0" applyNumberFormat="1" applyFont="1" applyFill="1" applyBorder="1"/>
    <xf numFmtId="1" fontId="4" fillId="2" borderId="15" xfId="0" applyNumberFormat="1" applyFont="1" applyFill="1" applyBorder="1"/>
    <xf numFmtId="11" fontId="4" fillId="0" borderId="0" xfId="0" applyNumberFormat="1" applyFont="1"/>
    <xf numFmtId="165" fontId="4" fillId="0" borderId="6" xfId="0" applyNumberFormat="1" applyFont="1" applyBorder="1"/>
    <xf numFmtId="165" fontId="4" fillId="0" borderId="7" xfId="0" applyNumberFormat="1" applyFont="1" applyBorder="1"/>
    <xf numFmtId="165" fontId="4" fillId="0" borderId="8" xfId="0" applyNumberFormat="1" applyFont="1" applyBorder="1"/>
    <xf numFmtId="165" fontId="4" fillId="0" borderId="9" xfId="0" applyNumberFormat="1" applyFont="1" applyBorder="1"/>
    <xf numFmtId="165" fontId="4" fillId="0" borderId="0" xfId="0" applyNumberFormat="1" applyFont="1"/>
    <xf numFmtId="165" fontId="4" fillId="0" borderId="10" xfId="0" applyNumberFormat="1" applyFont="1" applyBorder="1"/>
    <xf numFmtId="165" fontId="4" fillId="0" borderId="11" xfId="0" applyNumberFormat="1" applyFont="1" applyBorder="1"/>
    <xf numFmtId="165" fontId="4" fillId="0" borderId="12" xfId="0" applyNumberFormat="1" applyFont="1" applyBorder="1"/>
    <xf numFmtId="165" fontId="4" fillId="0" borderId="13" xfId="0" applyNumberFormat="1" applyFont="1" applyBorder="1"/>
    <xf numFmtId="0" fontId="2" fillId="0" borderId="7" xfId="0" applyFont="1" applyBorder="1"/>
    <xf numFmtId="168" fontId="4" fillId="0" borderId="0" xfId="0" applyNumberFormat="1" applyFont="1"/>
    <xf numFmtId="0" fontId="2" fillId="0" borderId="6" xfId="0" applyFont="1" applyBorder="1"/>
    <xf numFmtId="0" fontId="2" fillId="0" borderId="8" xfId="0" applyFont="1" applyBorder="1"/>
    <xf numFmtId="0" fontId="2" fillId="0" borderId="9" xfId="0" applyFont="1" applyBorder="1"/>
    <xf numFmtId="0" fontId="2" fillId="0" borderId="10" xfId="0" applyFont="1" applyBorder="1"/>
    <xf numFmtId="0" fontId="2" fillId="2" borderId="9" xfId="0" applyFont="1" applyFill="1" applyBorder="1"/>
    <xf numFmtId="0" fontId="2" fillId="2" borderId="0" xfId="0" applyFont="1" applyFill="1"/>
    <xf numFmtId="0" fontId="2" fillId="2" borderId="10" xfId="0" applyFont="1" applyFill="1" applyBorder="1"/>
    <xf numFmtId="0" fontId="2" fillId="2" borderId="11" xfId="0" applyFont="1" applyFill="1" applyBorder="1"/>
    <xf numFmtId="0" fontId="2" fillId="2" borderId="13" xfId="0" applyFont="1" applyFill="1" applyBorder="1"/>
    <xf numFmtId="9" fontId="4" fillId="2" borderId="0" xfId="0" applyNumberFormat="1" applyFont="1" applyFill="1"/>
    <xf numFmtId="0" fontId="4" fillId="0" borderId="4" xfId="0" applyFont="1" applyBorder="1"/>
    <xf numFmtId="0" fontId="4" fillId="0" borderId="16" xfId="0" applyFont="1" applyBorder="1"/>
    <xf numFmtId="0" fontId="4" fillId="0" borderId="17" xfId="0" applyFont="1" applyBorder="1"/>
    <xf numFmtId="0" fontId="5" fillId="0" borderId="0" xfId="0" applyFont="1" applyAlignment="1">
      <alignment textRotation="90"/>
    </xf>
    <xf numFmtId="0" fontId="4" fillId="4" borderId="0" xfId="0" applyFont="1" applyFill="1" applyAlignment="1">
      <alignment textRotation="90"/>
    </xf>
    <xf numFmtId="0" fontId="4" fillId="5" borderId="0" xfId="0" applyFont="1" applyFill="1" applyAlignment="1">
      <alignment textRotation="90"/>
    </xf>
    <xf numFmtId="0" fontId="4" fillId="0" borderId="18" xfId="0" applyFont="1" applyBorder="1"/>
    <xf numFmtId="0" fontId="4" fillId="0" borderId="19" xfId="0" applyFont="1" applyBorder="1"/>
    <xf numFmtId="0" fontId="5" fillId="0" borderId="4" xfId="0" applyFont="1" applyBorder="1"/>
    <xf numFmtId="0" fontId="5" fillId="0" borderId="0" xfId="0" applyFont="1" applyAlignment="1">
      <alignment wrapText="1"/>
    </xf>
    <xf numFmtId="2" fontId="4" fillId="2" borderId="5" xfId="0" applyNumberFormat="1" applyFont="1" applyFill="1" applyBorder="1"/>
    <xf numFmtId="1" fontId="4" fillId="2" borderId="5" xfId="0" applyNumberFormat="1" applyFont="1" applyFill="1" applyBorder="1"/>
    <xf numFmtId="9" fontId="4" fillId="2" borderId="1" xfId="0" applyNumberFormat="1" applyFont="1" applyFill="1" applyBorder="1"/>
    <xf numFmtId="9" fontId="4" fillId="2" borderId="4" xfId="0" applyNumberFormat="1" applyFont="1" applyFill="1" applyBorder="1"/>
    <xf numFmtId="9" fontId="4" fillId="2" borderId="16" xfId="0" applyNumberFormat="1" applyFont="1" applyFill="1" applyBorder="1"/>
    <xf numFmtId="9" fontId="4" fillId="2" borderId="2" xfId="0" applyNumberFormat="1" applyFont="1" applyFill="1" applyBorder="1"/>
    <xf numFmtId="9" fontId="4" fillId="2" borderId="17" xfId="0" applyNumberFormat="1" applyFont="1" applyFill="1" applyBorder="1"/>
    <xf numFmtId="9" fontId="4" fillId="2" borderId="3" xfId="0" applyNumberFormat="1" applyFont="1" applyFill="1" applyBorder="1"/>
    <xf numFmtId="9" fontId="4" fillId="2" borderId="18" xfId="0" applyNumberFormat="1" applyFont="1" applyFill="1" applyBorder="1"/>
    <xf numFmtId="9" fontId="4" fillId="2" borderId="19" xfId="0" applyNumberFormat="1" applyFont="1" applyFill="1" applyBorder="1"/>
    <xf numFmtId="9" fontId="4" fillId="2" borderId="0" xfId="1" applyFont="1" applyFill="1" applyBorder="1"/>
    <xf numFmtId="9" fontId="4" fillId="2" borderId="1" xfId="1" applyFont="1" applyFill="1" applyBorder="1"/>
    <xf numFmtId="9" fontId="4" fillId="2" borderId="4" xfId="1" applyFont="1" applyFill="1" applyBorder="1"/>
    <xf numFmtId="9" fontId="4" fillId="2" borderId="16" xfId="1" applyFont="1" applyFill="1" applyBorder="1"/>
    <xf numFmtId="9" fontId="4" fillId="2" borderId="2" xfId="1" applyFont="1" applyFill="1" applyBorder="1"/>
    <xf numFmtId="9" fontId="4" fillId="2" borderId="17" xfId="1" applyFont="1" applyFill="1" applyBorder="1"/>
    <xf numFmtId="9" fontId="4" fillId="2" borderId="3" xfId="1" applyFont="1" applyFill="1" applyBorder="1"/>
    <xf numFmtId="9" fontId="4" fillId="2" borderId="18" xfId="1" applyFont="1" applyFill="1" applyBorder="1"/>
    <xf numFmtId="9" fontId="4" fillId="2" borderId="19" xfId="1" applyFont="1" applyFill="1" applyBorder="1"/>
    <xf numFmtId="0" fontId="4" fillId="7" borderId="0" xfId="0" applyFont="1" applyFill="1"/>
    <xf numFmtId="0" fontId="0" fillId="7" borderId="0" xfId="0" applyFill="1"/>
    <xf numFmtId="1" fontId="4" fillId="2" borderId="1" xfId="0" applyNumberFormat="1" applyFont="1" applyFill="1" applyBorder="1"/>
    <xf numFmtId="1" fontId="4" fillId="2" borderId="16" xfId="0" applyNumberFormat="1" applyFont="1" applyFill="1" applyBorder="1"/>
    <xf numFmtId="11" fontId="4" fillId="2" borderId="20" xfId="0" applyNumberFormat="1" applyFont="1" applyFill="1" applyBorder="1"/>
    <xf numFmtId="11" fontId="4" fillId="2" borderId="21" xfId="0" applyNumberFormat="1" applyFont="1" applyFill="1" applyBorder="1"/>
    <xf numFmtId="11" fontId="4" fillId="2" borderId="22" xfId="0" applyNumberFormat="1" applyFont="1" applyFill="1" applyBorder="1"/>
    <xf numFmtId="0" fontId="5" fillId="7" borderId="0" xfId="0" applyFont="1" applyFill="1" applyAlignment="1">
      <alignment horizontal="center" vertical="center"/>
    </xf>
    <xf numFmtId="0" fontId="4" fillId="7" borderId="0" xfId="0" applyFont="1" applyFill="1" applyAlignment="1">
      <alignment horizontal="center" vertical="center"/>
    </xf>
    <xf numFmtId="165" fontId="2" fillId="0" borderId="0" xfId="0" applyNumberFormat="1" applyFont="1"/>
    <xf numFmtId="9" fontId="0" fillId="0" borderId="0" xfId="0" applyNumberFormat="1"/>
    <xf numFmtId="164" fontId="4" fillId="3" borderId="9" xfId="0" applyNumberFormat="1" applyFont="1" applyFill="1" applyBorder="1"/>
    <xf numFmtId="0" fontId="2" fillId="2" borderId="6" xfId="0" applyFont="1" applyFill="1" applyBorder="1"/>
    <xf numFmtId="0" fontId="2" fillId="0" borderId="11" xfId="0" applyFont="1" applyBorder="1"/>
    <xf numFmtId="0" fontId="2" fillId="0" borderId="12" xfId="0" applyFont="1" applyBorder="1"/>
    <xf numFmtId="166" fontId="2" fillId="2" borderId="12" xfId="0" applyNumberFormat="1" applyFont="1" applyFill="1" applyBorder="1"/>
    <xf numFmtId="166" fontId="2" fillId="2" borderId="13" xfId="0" applyNumberFormat="1" applyFont="1" applyFill="1" applyBorder="1"/>
    <xf numFmtId="166" fontId="2" fillId="2" borderId="0" xfId="0" applyNumberFormat="1" applyFont="1" applyFill="1"/>
    <xf numFmtId="0" fontId="2" fillId="0" borderId="13" xfId="0" applyFont="1" applyBorder="1"/>
    <xf numFmtId="166" fontId="2" fillId="2" borderId="10" xfId="0" applyNumberFormat="1" applyFont="1" applyFill="1" applyBorder="1"/>
    <xf numFmtId="164" fontId="2" fillId="0" borderId="4" xfId="0" applyNumberFormat="1" applyFont="1" applyBorder="1"/>
    <xf numFmtId="0" fontId="2" fillId="0" borderId="16" xfId="0" applyFont="1" applyBorder="1"/>
    <xf numFmtId="0" fontId="2" fillId="0" borderId="17" xfId="0" applyFont="1" applyBorder="1"/>
    <xf numFmtId="0" fontId="2" fillId="0" borderId="18" xfId="0" applyFont="1" applyBorder="1"/>
    <xf numFmtId="0" fontId="2" fillId="0" borderId="19" xfId="0" applyFont="1" applyBorder="1"/>
    <xf numFmtId="164" fontId="2" fillId="0" borderId="0" xfId="0" applyNumberFormat="1" applyFont="1"/>
    <xf numFmtId="166" fontId="2" fillId="0" borderId="0" xfId="0" applyNumberFormat="1" applyFont="1"/>
    <xf numFmtId="0" fontId="4" fillId="0" borderId="1" xfId="0" applyFont="1" applyBorder="1"/>
    <xf numFmtId="2" fontId="2" fillId="0" borderId="9" xfId="0" applyNumberFormat="1" applyFont="1" applyBorder="1"/>
    <xf numFmtId="2" fontId="2" fillId="0" borderId="0" xfId="0" applyNumberFormat="1" applyFont="1"/>
    <xf numFmtId="2" fontId="2" fillId="0" borderId="11" xfId="0" applyNumberFormat="1" applyFont="1" applyBorder="1"/>
    <xf numFmtId="2" fontId="2" fillId="0" borderId="12" xfId="0" applyNumberFormat="1" applyFont="1" applyBorder="1"/>
    <xf numFmtId="2" fontId="2" fillId="0" borderId="6" xfId="0" applyNumberFormat="1" applyFont="1" applyBorder="1"/>
    <xf numFmtId="2" fontId="2" fillId="0" borderId="7" xfId="0" applyNumberFormat="1" applyFont="1" applyBorder="1"/>
    <xf numFmtId="2" fontId="2" fillId="0" borderId="8" xfId="0" applyNumberFormat="1" applyFont="1" applyBorder="1"/>
    <xf numFmtId="2" fontId="2" fillId="0" borderId="10" xfId="0" applyNumberFormat="1" applyFont="1" applyBorder="1"/>
    <xf numFmtId="2" fontId="2" fillId="0" borderId="13" xfId="0" applyNumberFormat="1" applyFont="1" applyBorder="1"/>
    <xf numFmtId="0" fontId="5" fillId="0" borderId="6" xfId="0" applyFont="1" applyBorder="1" applyAlignment="1">
      <alignment wrapText="1"/>
    </xf>
    <xf numFmtId="0" fontId="5" fillId="0" borderId="7" xfId="0" applyFont="1" applyBorder="1" applyAlignment="1">
      <alignment wrapText="1"/>
    </xf>
    <xf numFmtId="0" fontId="5" fillId="0" borderId="8" xfId="0" applyFont="1" applyBorder="1" applyAlignment="1">
      <alignment wrapText="1"/>
    </xf>
    <xf numFmtId="0" fontId="5" fillId="0" borderId="9" xfId="0" applyFont="1" applyBorder="1" applyAlignment="1">
      <alignment wrapText="1"/>
    </xf>
    <xf numFmtId="0" fontId="5" fillId="0" borderId="10" xfId="0" applyFont="1" applyBorder="1" applyAlignment="1">
      <alignment wrapText="1"/>
    </xf>
    <xf numFmtId="0" fontId="2" fillId="0" borderId="12" xfId="0" applyFont="1" applyBorder="1" applyAlignment="1">
      <alignment horizontal="center"/>
    </xf>
    <xf numFmtId="0" fontId="2" fillId="0" borderId="9" xfId="0" applyFont="1" applyBorder="1" applyAlignment="1">
      <alignment horizontal="center"/>
    </xf>
    <xf numFmtId="0" fontId="2" fillId="0" borderId="0" xfId="0" applyFont="1" applyAlignment="1">
      <alignment horizontal="center"/>
    </xf>
    <xf numFmtId="0" fontId="3" fillId="0" borderId="9" xfId="0" applyFont="1" applyBorder="1" applyAlignment="1">
      <alignment horizontal="center"/>
    </xf>
    <xf numFmtId="0" fontId="3" fillId="0" borderId="0" xfId="0" applyFont="1" applyAlignment="1">
      <alignment horizontal="center"/>
    </xf>
    <xf numFmtId="167" fontId="4" fillId="8" borderId="6" xfId="0" applyNumberFormat="1" applyFont="1" applyFill="1" applyBorder="1"/>
    <xf numFmtId="167" fontId="4" fillId="8" borderId="7" xfId="0" applyNumberFormat="1" applyFont="1" applyFill="1" applyBorder="1"/>
    <xf numFmtId="167" fontId="4" fillId="8" borderId="8" xfId="0" applyNumberFormat="1" applyFont="1" applyFill="1" applyBorder="1"/>
    <xf numFmtId="167" fontId="4" fillId="8" borderId="9" xfId="0" applyNumberFormat="1" applyFont="1" applyFill="1" applyBorder="1"/>
    <xf numFmtId="167" fontId="4" fillId="8" borderId="0" xfId="0" applyNumberFormat="1" applyFont="1" applyFill="1"/>
    <xf numFmtId="167" fontId="4" fillId="8" borderId="10" xfId="0" applyNumberFormat="1" applyFont="1" applyFill="1" applyBorder="1"/>
    <xf numFmtId="11" fontId="4" fillId="8" borderId="9" xfId="0" applyNumberFormat="1" applyFont="1" applyFill="1" applyBorder="1"/>
    <xf numFmtId="11" fontId="4" fillId="8" borderId="0" xfId="0" applyNumberFormat="1" applyFont="1" applyFill="1"/>
    <xf numFmtId="11" fontId="4" fillId="8" borderId="10" xfId="0" applyNumberFormat="1" applyFont="1" applyFill="1" applyBorder="1"/>
    <xf numFmtId="11" fontId="4" fillId="8" borderId="11" xfId="0" applyNumberFormat="1" applyFont="1" applyFill="1" applyBorder="1"/>
    <xf numFmtId="11" fontId="4" fillId="8" borderId="12" xfId="0" applyNumberFormat="1" applyFont="1" applyFill="1" applyBorder="1"/>
    <xf numFmtId="11" fontId="4" fillId="8" borderId="13" xfId="0" applyNumberFormat="1" applyFont="1" applyFill="1" applyBorder="1"/>
    <xf numFmtId="0" fontId="2" fillId="8" borderId="1" xfId="0" applyFont="1" applyFill="1" applyBorder="1" applyAlignment="1">
      <alignment textRotation="90"/>
    </xf>
    <xf numFmtId="0" fontId="2" fillId="8" borderId="4" xfId="0" applyFont="1" applyFill="1" applyBorder="1" applyAlignment="1">
      <alignment textRotation="90"/>
    </xf>
    <xf numFmtId="0" fontId="4" fillId="8" borderId="4" xfId="0" applyFont="1" applyFill="1" applyBorder="1"/>
    <xf numFmtId="167" fontId="2" fillId="8" borderId="2" xfId="0" applyNumberFormat="1" applyFont="1" applyFill="1" applyBorder="1"/>
    <xf numFmtId="167" fontId="2" fillId="8" borderId="0" xfId="0" applyNumberFormat="1" applyFont="1" applyFill="1"/>
    <xf numFmtId="0" fontId="4" fillId="8" borderId="0" xfId="0" applyFont="1" applyFill="1"/>
    <xf numFmtId="165" fontId="2" fillId="8" borderId="2" xfId="0" applyNumberFormat="1" applyFont="1" applyFill="1" applyBorder="1"/>
    <xf numFmtId="165" fontId="2" fillId="8" borderId="0" xfId="0" applyNumberFormat="1" applyFont="1" applyFill="1"/>
    <xf numFmtId="0" fontId="2" fillId="8" borderId="3" xfId="0" applyFont="1" applyFill="1" applyBorder="1"/>
    <xf numFmtId="0" fontId="2" fillId="8" borderId="18" xfId="0" applyFont="1" applyFill="1" applyBorder="1"/>
    <xf numFmtId="0" fontId="4" fillId="8" borderId="18" xfId="0" applyFont="1" applyFill="1" applyBorder="1"/>
    <xf numFmtId="1" fontId="4" fillId="5" borderId="0" xfId="0" applyNumberFormat="1" applyFont="1" applyFill="1"/>
    <xf numFmtId="165" fontId="4" fillId="2" borderId="5" xfId="0" applyNumberFormat="1" applyFont="1" applyFill="1" applyBorder="1"/>
    <xf numFmtId="165" fontId="4" fillId="2" borderId="14" xfId="0" applyNumberFormat="1" applyFont="1" applyFill="1" applyBorder="1"/>
  </cellXfs>
  <cellStyles count="3">
    <cellStyle name="Hyperlink" xfId="2" builtinId="8"/>
    <cellStyle name="Normal" xfId="0" builtinId="0"/>
    <cellStyle name="Percent" xfId="1" builtinId="5"/>
  </cellStyles>
  <dxfs count="3">
    <dxf>
      <font>
        <color theme="2"/>
      </font>
      <fill>
        <patternFill patternType="none">
          <bgColor auto="1"/>
        </patternFill>
      </fill>
    </dxf>
    <dxf>
      <font>
        <color theme="2"/>
      </font>
      <fill>
        <patternFill patternType="none">
          <bgColor auto="1"/>
        </patternFill>
      </fill>
    </dxf>
    <dxf>
      <font>
        <color theme="2"/>
      </font>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Nova" panose="020B0504020202020204" pitchFamily="34" charset="0"/>
                <a:ea typeface="+mn-ea"/>
                <a:cs typeface="+mn-cs"/>
              </a:defRPr>
            </a:pPr>
            <a:r>
              <a:rPr lang="en-IE"/>
              <a:t>Comparaison entre sources d'électricité pour 4 indicateurs (en quantités absolues)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Nova" panose="020B0504020202020204" pitchFamily="34" charset="0"/>
              <a:ea typeface="+mn-ea"/>
              <a:cs typeface="+mn-cs"/>
            </a:defRPr>
          </a:pPr>
          <a:endParaRPr lang="en-US"/>
        </a:p>
      </c:txPr>
    </c:title>
    <c:autoTitleDeleted val="0"/>
    <c:plotArea>
      <c:layout/>
      <c:barChart>
        <c:barDir val="col"/>
        <c:grouping val="stacked"/>
        <c:varyColors val="0"/>
        <c:ser>
          <c:idx val="0"/>
          <c:order val="0"/>
          <c:tx>
            <c:strRef>
              <c:f>'Analyse d''impacts'!$A$6</c:f>
              <c:strCache>
                <c:ptCount val="1"/>
                <c:pt idx="0">
                  <c:v>électricité photovoltaïque</c:v>
                </c:pt>
              </c:strCache>
            </c:strRef>
          </c:tx>
          <c:spPr>
            <a:solidFill>
              <a:schemeClr val="accent1"/>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d''impacts'!$C$6:$N$6</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1DAB-41F2-BD67-B8496C2149C5}"/>
            </c:ext>
          </c:extLst>
        </c:ser>
        <c:ser>
          <c:idx val="1"/>
          <c:order val="1"/>
          <c:tx>
            <c:strRef>
              <c:f>'Analyse d''impacts'!$A$7</c:f>
              <c:strCache>
                <c:ptCount val="1"/>
                <c:pt idx="0">
                  <c:v>électricité éolienne</c:v>
                </c:pt>
              </c:strCache>
            </c:strRef>
          </c:tx>
          <c:spPr>
            <a:solidFill>
              <a:schemeClr val="accent2"/>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d''impacts'!$C$7:$N$7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1DAB-41F2-BD67-B8496C2149C5}"/>
            </c:ext>
          </c:extLst>
        </c:ser>
        <c:ser>
          <c:idx val="2"/>
          <c:order val="2"/>
          <c:tx>
            <c:strRef>
              <c:f>'Analyse d''impacts'!$A$8</c:f>
              <c:strCache>
                <c:ptCount val="1"/>
                <c:pt idx="0">
                  <c:v>électricité nucléaire</c:v>
                </c:pt>
              </c:strCache>
            </c:strRef>
          </c:tx>
          <c:spPr>
            <a:solidFill>
              <a:schemeClr val="accent3"/>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d''impacts'!$C$8:$N$8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1DAB-41F2-BD67-B8496C2149C5}"/>
            </c:ext>
          </c:extLst>
        </c:ser>
        <c:ser>
          <c:idx val="3"/>
          <c:order val="3"/>
          <c:tx>
            <c:strRef>
              <c:f>'Analyse d''impacts'!$A$9</c:f>
              <c:strCache>
                <c:ptCount val="1"/>
                <c:pt idx="0">
                  <c:v>centrale photovoltaïque</c:v>
                </c:pt>
              </c:strCache>
            </c:strRef>
          </c:tx>
          <c:spPr>
            <a:solidFill>
              <a:schemeClr val="accent4"/>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d''impacts'!$C$9:$N$9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1DAB-41F2-BD67-B8496C2149C5}"/>
            </c:ext>
          </c:extLst>
        </c:ser>
        <c:ser>
          <c:idx val="4"/>
          <c:order val="4"/>
          <c:tx>
            <c:strRef>
              <c:f>'Analyse d''impacts'!$A$10</c:f>
              <c:strCache>
                <c:ptCount val="1"/>
                <c:pt idx="0">
                  <c:v>panneau photovoltaïque</c:v>
                </c:pt>
              </c:strCache>
            </c:strRef>
          </c:tx>
          <c:spPr>
            <a:solidFill>
              <a:schemeClr val="accent5"/>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d''impacts'!$C$10:$N$10</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1DAB-41F2-BD67-B8496C2149C5}"/>
            </c:ext>
          </c:extLst>
        </c:ser>
        <c:ser>
          <c:idx val="5"/>
          <c:order val="5"/>
          <c:tx>
            <c:strRef>
              <c:f>'Analyse d''impacts'!$A$11</c:f>
              <c:strCache>
                <c:ptCount val="1"/>
                <c:pt idx="0">
                  <c:v>structure panneaux photovoltaïques</c:v>
                </c:pt>
              </c:strCache>
            </c:strRef>
          </c:tx>
          <c:spPr>
            <a:solidFill>
              <a:schemeClr val="accent6"/>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d''impacts'!$C$11:$N$11</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5-1DAB-41F2-BD67-B8496C2149C5}"/>
            </c:ext>
          </c:extLst>
        </c:ser>
        <c:ser>
          <c:idx val="6"/>
          <c:order val="6"/>
          <c:tx>
            <c:strRef>
              <c:f>'Analyse d''impacts'!$A$12</c:f>
              <c:strCache>
                <c:ptCount val="1"/>
                <c:pt idx="0">
                  <c:v>parc éolien</c:v>
                </c:pt>
              </c:strCache>
            </c:strRef>
          </c:tx>
          <c:spPr>
            <a:solidFill>
              <a:schemeClr val="accent1">
                <a:lumMod val="60000"/>
              </a:schemeClr>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d''impacts'!$C$12:$N$12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1DAB-41F2-BD67-B8496C2149C5}"/>
            </c:ext>
          </c:extLst>
        </c:ser>
        <c:ser>
          <c:idx val="7"/>
          <c:order val="7"/>
          <c:tx>
            <c:strRef>
              <c:f>'Analyse d''impacts'!$A$13</c:f>
              <c:strCache>
                <c:ptCount val="1"/>
                <c:pt idx="0">
                  <c:v>éolienne</c:v>
                </c:pt>
              </c:strCache>
            </c:strRef>
          </c:tx>
          <c:spPr>
            <a:solidFill>
              <a:schemeClr val="accent2">
                <a:lumMod val="60000"/>
              </a:schemeClr>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d''impacts'!$C$13:$N$13</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1DAB-41F2-BD67-B8496C2149C5}"/>
            </c:ext>
          </c:extLst>
        </c:ser>
        <c:ser>
          <c:idx val="8"/>
          <c:order val="8"/>
          <c:tx>
            <c:strRef>
              <c:f>'Analyse d''impacts'!$A$14</c:f>
              <c:strCache>
                <c:ptCount val="1"/>
                <c:pt idx="0">
                  <c:v>centrale nucléaire</c:v>
                </c:pt>
              </c:strCache>
            </c:strRef>
          </c:tx>
          <c:spPr>
            <a:solidFill>
              <a:schemeClr val="accent3">
                <a:lumMod val="60000"/>
              </a:schemeClr>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d''impacts'!$C$14:$N$14</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1DAB-41F2-BD67-B8496C2149C5}"/>
            </c:ext>
          </c:extLst>
        </c:ser>
        <c:ser>
          <c:idx val="9"/>
          <c:order val="9"/>
          <c:tx>
            <c:strRef>
              <c:f>'Analyse d''impacts'!$A$15</c:f>
              <c:strCache>
                <c:ptCount val="1"/>
                <c:pt idx="0">
                  <c:v>uranium enrichi</c:v>
                </c:pt>
              </c:strCache>
            </c:strRef>
          </c:tx>
          <c:spPr>
            <a:solidFill>
              <a:schemeClr val="accent4">
                <a:lumMod val="60000"/>
              </a:schemeClr>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d''impacts'!$C$15:$N$15</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9-1DAB-41F2-BD67-B8496C2149C5}"/>
            </c:ext>
          </c:extLst>
        </c:ser>
        <c:ser>
          <c:idx val="10"/>
          <c:order val="10"/>
          <c:tx>
            <c:strRef>
              <c:f>'Analyse d''impacts'!$A$16</c:f>
              <c:strCache>
                <c:ptCount val="1"/>
                <c:pt idx="0">
                  <c:v>minerai d'uranium</c:v>
                </c:pt>
              </c:strCache>
            </c:strRef>
          </c:tx>
          <c:spPr>
            <a:solidFill>
              <a:schemeClr val="accent5">
                <a:lumMod val="60000"/>
              </a:schemeClr>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d''impacts'!$C$16:$N$16</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A-1DAB-41F2-BD67-B8496C2149C5}"/>
            </c:ext>
          </c:extLst>
        </c:ser>
        <c:ser>
          <c:idx val="11"/>
          <c:order val="11"/>
          <c:tx>
            <c:strRef>
              <c:f>'Analyse d''impacts'!$A$17</c:f>
              <c:strCache>
                <c:ptCount val="1"/>
                <c:pt idx="0">
                  <c:v>onduleur</c:v>
                </c:pt>
              </c:strCache>
            </c:strRef>
          </c:tx>
          <c:spPr>
            <a:solidFill>
              <a:schemeClr val="accent6">
                <a:lumMod val="60000"/>
              </a:schemeClr>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d''impacts'!$C$17:$N$17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B-1DAB-41F2-BD67-B8496C2149C5}"/>
            </c:ext>
          </c:extLst>
        </c:ser>
        <c:ser>
          <c:idx val="12"/>
          <c:order val="12"/>
          <c:tx>
            <c:strRef>
              <c:f>'Analyse d''impacts'!$A$18</c:f>
              <c:strCache>
                <c:ptCount val="1"/>
                <c:pt idx="0">
                  <c:v>électricité du réseau, France</c:v>
                </c:pt>
              </c:strCache>
            </c:strRef>
          </c:tx>
          <c:spPr>
            <a:solidFill>
              <a:schemeClr val="accent1">
                <a:lumMod val="80000"/>
                <a:lumOff val="20000"/>
              </a:schemeClr>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d''impacts'!$C$18:$N$18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C-1DAB-41F2-BD67-B8496C2149C5}"/>
            </c:ext>
          </c:extLst>
        </c:ser>
        <c:ser>
          <c:idx val="13"/>
          <c:order val="13"/>
          <c:tx>
            <c:strRef>
              <c:f>'Analyse d''impacts'!$A$19</c:f>
              <c:strCache>
                <c:ptCount val="1"/>
                <c:pt idx="0">
                  <c:v>électricité du réseau, Allemagne</c:v>
                </c:pt>
              </c:strCache>
            </c:strRef>
          </c:tx>
          <c:spPr>
            <a:solidFill>
              <a:schemeClr val="accent2">
                <a:lumMod val="80000"/>
                <a:lumOff val="20000"/>
              </a:schemeClr>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d''impacts'!$C$19:$N$19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1DAB-41F2-BD67-B8496C2149C5}"/>
            </c:ext>
          </c:extLst>
        </c:ser>
        <c:ser>
          <c:idx val="14"/>
          <c:order val="14"/>
          <c:tx>
            <c:strRef>
              <c:f>'Analyse d''impacts'!$A$20</c:f>
              <c:strCache>
                <c:ptCount val="1"/>
                <c:pt idx="0">
                  <c:v>électricité du réseau, Chine</c:v>
                </c:pt>
              </c:strCache>
            </c:strRef>
          </c:tx>
          <c:spPr>
            <a:solidFill>
              <a:schemeClr val="accent3">
                <a:lumMod val="80000"/>
                <a:lumOff val="20000"/>
              </a:schemeClr>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d''impacts'!$C$20:$N$20</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E-1DAB-41F2-BD67-B8496C2149C5}"/>
            </c:ext>
          </c:extLst>
        </c:ser>
        <c:ser>
          <c:idx val="15"/>
          <c:order val="15"/>
          <c:tx>
            <c:strRef>
              <c:f>'Analyse d''impacts'!$A$21</c:f>
              <c:strCache>
                <c:ptCount val="1"/>
                <c:pt idx="0">
                  <c:v>silicium raffiné</c:v>
                </c:pt>
              </c:strCache>
            </c:strRef>
          </c:tx>
          <c:spPr>
            <a:solidFill>
              <a:schemeClr val="accent4">
                <a:lumMod val="80000"/>
                <a:lumOff val="20000"/>
              </a:schemeClr>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d''impacts'!$C$21:$N$21</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F-1DAB-41F2-BD67-B8496C2149C5}"/>
            </c:ext>
          </c:extLst>
        </c:ser>
        <c:ser>
          <c:idx val="16"/>
          <c:order val="16"/>
          <c:tx>
            <c:strRef>
              <c:f>'Analyse d''impacts'!$A$22</c:f>
              <c:strCache>
                <c:ptCount val="1"/>
                <c:pt idx="0">
                  <c:v>acier</c:v>
                </c:pt>
              </c:strCache>
            </c:strRef>
          </c:tx>
          <c:spPr>
            <a:solidFill>
              <a:schemeClr val="accent5">
                <a:lumMod val="80000"/>
                <a:lumOff val="20000"/>
              </a:schemeClr>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d''impacts'!$C$22:$N$22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0-1DAB-41F2-BD67-B8496C2149C5}"/>
            </c:ext>
          </c:extLst>
        </c:ser>
        <c:ser>
          <c:idx val="17"/>
          <c:order val="17"/>
          <c:tx>
            <c:strRef>
              <c:f>'Analyse d''impacts'!$A$23</c:f>
              <c:strCache>
                <c:ptCount val="1"/>
                <c:pt idx="0">
                  <c:v>fonte</c:v>
                </c:pt>
              </c:strCache>
            </c:strRef>
          </c:tx>
          <c:spPr>
            <a:solidFill>
              <a:schemeClr val="accent6">
                <a:lumMod val="80000"/>
                <a:lumOff val="20000"/>
              </a:schemeClr>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d''impacts'!$C$23:$N$23</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1-1DAB-41F2-BD67-B8496C2149C5}"/>
            </c:ext>
          </c:extLst>
        </c:ser>
        <c:ser>
          <c:idx val="18"/>
          <c:order val="18"/>
          <c:tx>
            <c:strRef>
              <c:f>'Analyse d''impacts'!$A$24</c:f>
              <c:strCache>
                <c:ptCount val="1"/>
                <c:pt idx="0">
                  <c:v>aluminium</c:v>
                </c:pt>
              </c:strCache>
            </c:strRef>
          </c:tx>
          <c:spPr>
            <a:solidFill>
              <a:schemeClr val="accent1">
                <a:lumMod val="80000"/>
              </a:schemeClr>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d''impacts'!$C$24:$N$24</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2-1DAB-41F2-BD67-B8496C2149C5}"/>
            </c:ext>
          </c:extLst>
        </c:ser>
        <c:ser>
          <c:idx val="19"/>
          <c:order val="19"/>
          <c:tx>
            <c:strRef>
              <c:f>'Analyse d''impacts'!$A$25</c:f>
              <c:strCache>
                <c:ptCount val="1"/>
                <c:pt idx="0">
                  <c:v>verre</c:v>
                </c:pt>
              </c:strCache>
            </c:strRef>
          </c:tx>
          <c:spPr>
            <a:solidFill>
              <a:schemeClr val="accent2">
                <a:lumMod val="80000"/>
              </a:schemeClr>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d''impacts'!$C$25:$N$25</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3-1DAB-41F2-BD67-B8496C2149C5}"/>
            </c:ext>
          </c:extLst>
        </c:ser>
        <c:ser>
          <c:idx val="20"/>
          <c:order val="20"/>
          <c:tx>
            <c:strRef>
              <c:f>'Analyse d''impacts'!$A$26</c:f>
              <c:strCache>
                <c:ptCount val="1"/>
                <c:pt idx="0">
                  <c:v>peinture</c:v>
                </c:pt>
              </c:strCache>
            </c:strRef>
          </c:tx>
          <c:spPr>
            <a:solidFill>
              <a:schemeClr val="accent3">
                <a:lumMod val="80000"/>
              </a:schemeClr>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d''impacts'!$C$26:$N$26</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4-1DAB-41F2-BD67-B8496C2149C5}"/>
            </c:ext>
          </c:extLst>
        </c:ser>
        <c:ser>
          <c:idx val="21"/>
          <c:order val="21"/>
          <c:tx>
            <c:strRef>
              <c:f>'Analyse d''impacts'!$A$27</c:f>
              <c:strCache>
                <c:ptCount val="1"/>
                <c:pt idx="0">
                  <c:v>plastiques</c:v>
                </c:pt>
              </c:strCache>
            </c:strRef>
          </c:tx>
          <c:spPr>
            <a:solidFill>
              <a:schemeClr val="accent4">
                <a:lumMod val="80000"/>
              </a:schemeClr>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d''impacts'!$C$27:$N$27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5-1DAB-41F2-BD67-B8496C2149C5}"/>
            </c:ext>
          </c:extLst>
        </c:ser>
        <c:ser>
          <c:idx val="22"/>
          <c:order val="22"/>
          <c:tx>
            <c:strRef>
              <c:f>'Analyse d''impacts'!$A$28</c:f>
              <c:strCache>
                <c:ptCount val="1"/>
                <c:pt idx="0">
                  <c:v>gomme</c:v>
                </c:pt>
              </c:strCache>
            </c:strRef>
          </c:tx>
          <c:spPr>
            <a:solidFill>
              <a:schemeClr val="accent5">
                <a:lumMod val="80000"/>
              </a:schemeClr>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d''impacts'!$C$28:$N$28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6-1DAB-41F2-BD67-B8496C2149C5}"/>
            </c:ext>
          </c:extLst>
        </c:ser>
        <c:ser>
          <c:idx val="23"/>
          <c:order val="23"/>
          <c:tx>
            <c:strRef>
              <c:f>'Analyse d''impacts'!$A$29</c:f>
              <c:strCache>
                <c:ptCount val="1"/>
                <c:pt idx="0">
                  <c:v>lubrifiant</c:v>
                </c:pt>
              </c:strCache>
            </c:strRef>
          </c:tx>
          <c:spPr>
            <a:solidFill>
              <a:schemeClr val="accent6">
                <a:lumMod val="80000"/>
              </a:schemeClr>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d''impacts'!$C$29:$N$29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7-1DAB-41F2-BD67-B8496C2149C5}"/>
            </c:ext>
          </c:extLst>
        </c:ser>
        <c:ser>
          <c:idx val="24"/>
          <c:order val="24"/>
          <c:tx>
            <c:strRef>
              <c:f>'Analyse d''impacts'!$A$30</c:f>
              <c:strCache>
                <c:ptCount val="1"/>
                <c:pt idx="0">
                  <c:v>cuivre</c:v>
                </c:pt>
              </c:strCache>
            </c:strRef>
          </c:tx>
          <c:spPr>
            <a:solidFill>
              <a:schemeClr val="accent1">
                <a:lumMod val="60000"/>
                <a:lumOff val="40000"/>
              </a:schemeClr>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d''impacts'!$C$30:$N$30</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8-1DAB-41F2-BD67-B8496C2149C5}"/>
            </c:ext>
          </c:extLst>
        </c:ser>
        <c:ser>
          <c:idx val="25"/>
          <c:order val="25"/>
          <c:tx>
            <c:strRef>
              <c:f>'Analyse d''impacts'!$A$31</c:f>
              <c:strCache>
                <c:ptCount val="1"/>
                <c:pt idx="0">
                  <c:v>métaux non ferreux</c:v>
                </c:pt>
              </c:strCache>
            </c:strRef>
          </c:tx>
          <c:spPr>
            <a:solidFill>
              <a:schemeClr val="accent2">
                <a:lumMod val="60000"/>
                <a:lumOff val="40000"/>
              </a:schemeClr>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d''impacts'!$C$31:$N$31</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9-1DAB-41F2-BD67-B8496C2149C5}"/>
            </c:ext>
          </c:extLst>
        </c:ser>
        <c:ser>
          <c:idx val="26"/>
          <c:order val="26"/>
          <c:tx>
            <c:strRef>
              <c:f>'Analyse d''impacts'!$A$32</c:f>
              <c:strCache>
                <c:ptCount val="1"/>
                <c:pt idx="0">
                  <c:v>électronique</c:v>
                </c:pt>
              </c:strCache>
            </c:strRef>
          </c:tx>
          <c:spPr>
            <a:solidFill>
              <a:schemeClr val="accent3">
                <a:lumMod val="60000"/>
                <a:lumOff val="40000"/>
              </a:schemeClr>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d''impacts'!$C$32:$N$32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A-1DAB-41F2-BD67-B8496C2149C5}"/>
            </c:ext>
          </c:extLst>
        </c:ser>
        <c:ser>
          <c:idx val="27"/>
          <c:order val="27"/>
          <c:tx>
            <c:strRef>
              <c:f>'Analyse d''impacts'!$A$33</c:f>
              <c:strCache>
                <c:ptCount val="1"/>
                <c:pt idx="0">
                  <c:v>béton</c:v>
                </c:pt>
              </c:strCache>
            </c:strRef>
          </c:tx>
          <c:spPr>
            <a:solidFill>
              <a:schemeClr val="accent4">
                <a:lumMod val="60000"/>
                <a:lumOff val="40000"/>
              </a:schemeClr>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d''impacts'!$C$33:$N$33</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B-1DAB-41F2-BD67-B8496C2149C5}"/>
            </c:ext>
          </c:extLst>
        </c:ser>
        <c:ser>
          <c:idx val="28"/>
          <c:order val="28"/>
          <c:tx>
            <c:strRef>
              <c:f>'Analyse d''impacts'!$A$34</c:f>
              <c:strCache>
                <c:ptCount val="1"/>
                <c:pt idx="0">
                  <c:v>électricité hydroélectrique</c:v>
                </c:pt>
              </c:strCache>
            </c:strRef>
          </c:tx>
          <c:spPr>
            <a:solidFill>
              <a:schemeClr val="accent5">
                <a:lumMod val="60000"/>
                <a:lumOff val="40000"/>
              </a:schemeClr>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d''impacts'!$C$34:$N$34</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C-1DAB-41F2-BD67-B8496C2149C5}"/>
            </c:ext>
          </c:extLst>
        </c:ser>
        <c:ser>
          <c:idx val="29"/>
          <c:order val="29"/>
          <c:tx>
            <c:strRef>
              <c:f>'Analyse d''impacts'!$A$35</c:f>
              <c:strCache>
                <c:ptCount val="1"/>
                <c:pt idx="0">
                  <c:v>électricité au charbon</c:v>
                </c:pt>
              </c:strCache>
            </c:strRef>
          </c:tx>
          <c:spPr>
            <a:solidFill>
              <a:schemeClr val="accent6">
                <a:lumMod val="60000"/>
                <a:lumOff val="40000"/>
              </a:schemeClr>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d''impacts'!$C$35:$N$35</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D-1DAB-41F2-BD67-B8496C2149C5}"/>
            </c:ext>
          </c:extLst>
        </c:ser>
        <c:ser>
          <c:idx val="30"/>
          <c:order val="30"/>
          <c:tx>
            <c:strRef>
              <c:f>'Analyse d''impacts'!$A$36</c:f>
              <c:strCache>
                <c:ptCount val="1"/>
                <c:pt idx="0">
                  <c:v>électricité au gaz</c:v>
                </c:pt>
              </c:strCache>
            </c:strRef>
          </c:tx>
          <c:spPr>
            <a:solidFill>
              <a:schemeClr val="accent1">
                <a:lumMod val="50000"/>
              </a:schemeClr>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d''impacts'!$C$36:$N$36</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E-1DAB-41F2-BD67-B8496C2149C5}"/>
            </c:ext>
          </c:extLst>
        </c:ser>
        <c:ser>
          <c:idx val="31"/>
          <c:order val="31"/>
          <c:tx>
            <c:strRef>
              <c:f>'Analyse d''impacts'!$A$37</c:f>
              <c:strCache>
                <c:ptCount val="1"/>
                <c:pt idx="0">
                  <c:v>électricité, autre</c:v>
                </c:pt>
              </c:strCache>
            </c:strRef>
          </c:tx>
          <c:spPr>
            <a:solidFill>
              <a:schemeClr val="accent2">
                <a:lumMod val="50000"/>
              </a:schemeClr>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d''impacts'!$C$37:$N$37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F-1DAB-41F2-BD67-B8496C2149C5}"/>
            </c:ext>
          </c:extLst>
        </c:ser>
        <c:ser>
          <c:idx val="32"/>
          <c:order val="32"/>
          <c:tx>
            <c:strRef>
              <c:f>'Analyse d''impacts'!$A$38</c:f>
              <c:strCache>
                <c:ptCount val="1"/>
                <c:pt idx="0">
                  <c:v>diesel, combustion</c:v>
                </c:pt>
              </c:strCache>
            </c:strRef>
          </c:tx>
          <c:spPr>
            <a:solidFill>
              <a:schemeClr val="accent3">
                <a:lumMod val="50000"/>
              </a:schemeClr>
            </a:solidFill>
            <a:ln>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d''impacts'!$C$38:$N$38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20-1DAB-41F2-BD67-B8496C2149C5}"/>
            </c:ext>
          </c:extLst>
        </c:ser>
        <c:ser>
          <c:idx val="33"/>
          <c:order val="33"/>
          <c:tx>
            <c:strRef>
              <c:f>'Analyse d''impacts'!$A$39</c:f>
              <c:strCache>
                <c:ptCount val="1"/>
                <c:pt idx="0">
                  <c:v>chaleur, gaz</c:v>
                </c:pt>
              </c:strCache>
            </c:strRef>
          </c:tx>
          <c:spPr>
            <a:solidFill>
              <a:schemeClr val="accent4">
                <a:lumMod val="50000"/>
              </a:schemeClr>
            </a:solidFill>
            <a:ln w="25400">
              <a:noFill/>
            </a:ln>
            <a:effectLst/>
          </c:spPr>
          <c:invertIfNegative val="0"/>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d''impacts'!$C$39:$N$39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21-1DAB-41F2-BD67-B8496C2149C5}"/>
            </c:ext>
          </c:extLst>
        </c:ser>
        <c:dLbls>
          <c:showLegendKey val="0"/>
          <c:showVal val="0"/>
          <c:showCatName val="0"/>
          <c:showSerName val="0"/>
          <c:showPercent val="0"/>
          <c:showBubbleSize val="0"/>
        </c:dLbls>
        <c:gapWidth val="150"/>
        <c:overlap val="100"/>
        <c:axId val="519000912"/>
        <c:axId val="212952096"/>
      </c:barChart>
      <c:lineChart>
        <c:grouping val="stacked"/>
        <c:varyColors val="0"/>
        <c:ser>
          <c:idx val="34"/>
          <c:order val="34"/>
          <c:tx>
            <c:strRef>
              <c:f>'Analyse d''impacts'!$A$40</c:f>
              <c:strCache>
                <c:ptCount val="1"/>
                <c:pt idx="0">
                  <c:v>total</c:v>
                </c:pt>
              </c:strCache>
            </c:strRef>
          </c:tx>
          <c:spPr>
            <a:ln w="28575"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'Analyse d''impacts'!$C$2:$N$3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d''impacts'!$C$40:$N$40</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22-1DAB-41F2-BD67-B8496C2149C5}"/>
            </c:ext>
          </c:extLst>
        </c:ser>
        <c:dLbls>
          <c:showLegendKey val="0"/>
          <c:showVal val="0"/>
          <c:showCatName val="0"/>
          <c:showSerName val="0"/>
          <c:showPercent val="0"/>
          <c:showBubbleSize val="0"/>
        </c:dLbls>
        <c:marker val="1"/>
        <c:smooth val="0"/>
        <c:axId val="519000912"/>
        <c:axId val="212952096"/>
      </c:lineChart>
      <c:catAx>
        <c:axId val="51900091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212952096"/>
        <c:crosses val="autoZero"/>
        <c:auto val="1"/>
        <c:lblAlgn val="ctr"/>
        <c:lblOffset val="100"/>
        <c:noMultiLvlLbl val="0"/>
      </c:catAx>
      <c:valAx>
        <c:axId val="2129520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51900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Arial Nova" panose="020B05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Nova" panose="020B0504020202020204" pitchFamily="34" charset="0"/>
                <a:ea typeface="+mn-ea"/>
                <a:cs typeface="+mn-cs"/>
              </a:defRPr>
            </a:pPr>
            <a:r>
              <a:rPr lang="en-IE"/>
              <a:t>Comparaison entre sources d'électricité pour 4 indicateurs (en quantités relatives</a:t>
            </a:r>
            <a:r>
              <a:rPr lang="en-IE" baseline="0"/>
              <a:t> au maximum de chaque indicateur)</a:t>
            </a:r>
            <a:endParaRPr lang="en-I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Nova" panose="020B0504020202020204" pitchFamily="34" charset="0"/>
              <a:ea typeface="+mn-ea"/>
              <a:cs typeface="+mn-cs"/>
            </a:defRPr>
          </a:pPr>
          <a:endParaRPr lang="en-IE"/>
        </a:p>
      </c:txPr>
    </c:title>
    <c:autoTitleDeleted val="0"/>
    <c:plotArea>
      <c:layout/>
      <c:barChart>
        <c:barDir val="col"/>
        <c:grouping val="stacked"/>
        <c:varyColors val="0"/>
        <c:ser>
          <c:idx val="0"/>
          <c:order val="0"/>
          <c:tx>
            <c:strRef>
              <c:f>'Analyse d''impacts'!$A$6</c:f>
              <c:strCache>
                <c:ptCount val="1"/>
                <c:pt idx="0">
                  <c:v>électricité photovoltaïque</c:v>
                </c:pt>
              </c:strCache>
            </c:strRef>
          </c:tx>
          <c:spPr>
            <a:solidFill>
              <a:schemeClr val="accent1"/>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d''impacts'!$O$6:$Z$6</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1DAB-41F2-BD67-B8496C2149C5}"/>
            </c:ext>
          </c:extLst>
        </c:ser>
        <c:ser>
          <c:idx val="1"/>
          <c:order val="1"/>
          <c:tx>
            <c:strRef>
              <c:f>'Analyse d''impacts'!$A$7</c:f>
              <c:strCache>
                <c:ptCount val="1"/>
                <c:pt idx="0">
                  <c:v>électricité éolienne</c:v>
                </c:pt>
              </c:strCache>
            </c:strRef>
          </c:tx>
          <c:spPr>
            <a:solidFill>
              <a:schemeClr val="accent2"/>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d''impacts'!$O$7:$Z$7</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1DAB-41F2-BD67-B8496C2149C5}"/>
            </c:ext>
          </c:extLst>
        </c:ser>
        <c:ser>
          <c:idx val="2"/>
          <c:order val="2"/>
          <c:tx>
            <c:strRef>
              <c:f>'Analyse d''impacts'!$A$8</c:f>
              <c:strCache>
                <c:ptCount val="1"/>
                <c:pt idx="0">
                  <c:v>électricité nucléaire</c:v>
                </c:pt>
              </c:strCache>
            </c:strRef>
          </c:tx>
          <c:spPr>
            <a:solidFill>
              <a:schemeClr val="accent3"/>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d''impacts'!$O$8:$Z$8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1DAB-41F2-BD67-B8496C2149C5}"/>
            </c:ext>
          </c:extLst>
        </c:ser>
        <c:ser>
          <c:idx val="3"/>
          <c:order val="3"/>
          <c:tx>
            <c:strRef>
              <c:f>'Analyse d''impacts'!$A$9</c:f>
              <c:strCache>
                <c:ptCount val="1"/>
                <c:pt idx="0">
                  <c:v>centrale photovoltaïque</c:v>
                </c:pt>
              </c:strCache>
            </c:strRef>
          </c:tx>
          <c:spPr>
            <a:solidFill>
              <a:schemeClr val="accent4"/>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d''impacts'!$O$9:$Z$9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1DAB-41F2-BD67-B8496C2149C5}"/>
            </c:ext>
          </c:extLst>
        </c:ser>
        <c:ser>
          <c:idx val="4"/>
          <c:order val="4"/>
          <c:tx>
            <c:strRef>
              <c:f>'Analyse d''impacts'!$A$10</c:f>
              <c:strCache>
                <c:ptCount val="1"/>
                <c:pt idx="0">
                  <c:v>panneau photovoltaïque</c:v>
                </c:pt>
              </c:strCache>
            </c:strRef>
          </c:tx>
          <c:spPr>
            <a:solidFill>
              <a:schemeClr val="accent5"/>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d''impacts'!$O$10:$Z$10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1DAB-41F2-BD67-B8496C2149C5}"/>
            </c:ext>
          </c:extLst>
        </c:ser>
        <c:ser>
          <c:idx val="5"/>
          <c:order val="5"/>
          <c:tx>
            <c:strRef>
              <c:f>'Analyse d''impacts'!$A$11</c:f>
              <c:strCache>
                <c:ptCount val="1"/>
                <c:pt idx="0">
                  <c:v>structure panneaux photovoltaïques</c:v>
                </c:pt>
              </c:strCache>
            </c:strRef>
          </c:tx>
          <c:spPr>
            <a:solidFill>
              <a:schemeClr val="accent6"/>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d''impacts'!$O$11:$Z$11</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5-1DAB-41F2-BD67-B8496C2149C5}"/>
            </c:ext>
          </c:extLst>
        </c:ser>
        <c:ser>
          <c:idx val="6"/>
          <c:order val="6"/>
          <c:tx>
            <c:strRef>
              <c:f>'Analyse d''impacts'!$A$12</c:f>
              <c:strCache>
                <c:ptCount val="1"/>
                <c:pt idx="0">
                  <c:v>parc éolien</c:v>
                </c:pt>
              </c:strCache>
            </c:strRef>
          </c:tx>
          <c:spPr>
            <a:solidFill>
              <a:schemeClr val="accent1">
                <a:lumMod val="60000"/>
              </a:schemeClr>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d''impacts'!$O$12:$Z$12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1DAB-41F2-BD67-B8496C2149C5}"/>
            </c:ext>
          </c:extLst>
        </c:ser>
        <c:ser>
          <c:idx val="7"/>
          <c:order val="7"/>
          <c:tx>
            <c:strRef>
              <c:f>'Analyse d''impacts'!$A$13</c:f>
              <c:strCache>
                <c:ptCount val="1"/>
                <c:pt idx="0">
                  <c:v>éolienne</c:v>
                </c:pt>
              </c:strCache>
            </c:strRef>
          </c:tx>
          <c:spPr>
            <a:solidFill>
              <a:schemeClr val="accent2">
                <a:lumMod val="60000"/>
              </a:schemeClr>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d''impacts'!$O$13:$Z$13</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1DAB-41F2-BD67-B8496C2149C5}"/>
            </c:ext>
          </c:extLst>
        </c:ser>
        <c:ser>
          <c:idx val="8"/>
          <c:order val="8"/>
          <c:tx>
            <c:strRef>
              <c:f>'Analyse d''impacts'!$A$14</c:f>
              <c:strCache>
                <c:ptCount val="1"/>
                <c:pt idx="0">
                  <c:v>centrale nucléaire</c:v>
                </c:pt>
              </c:strCache>
            </c:strRef>
          </c:tx>
          <c:spPr>
            <a:solidFill>
              <a:schemeClr val="accent3">
                <a:lumMod val="60000"/>
              </a:schemeClr>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d''impacts'!$O$14:$Z$14</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1DAB-41F2-BD67-B8496C2149C5}"/>
            </c:ext>
          </c:extLst>
        </c:ser>
        <c:ser>
          <c:idx val="9"/>
          <c:order val="9"/>
          <c:tx>
            <c:strRef>
              <c:f>'Analyse d''impacts'!$A$15</c:f>
              <c:strCache>
                <c:ptCount val="1"/>
                <c:pt idx="0">
                  <c:v>uranium enrichi</c:v>
                </c:pt>
              </c:strCache>
            </c:strRef>
          </c:tx>
          <c:spPr>
            <a:solidFill>
              <a:schemeClr val="accent4">
                <a:lumMod val="60000"/>
              </a:schemeClr>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d''impacts'!$O$15:$Z$15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9-1DAB-41F2-BD67-B8496C2149C5}"/>
            </c:ext>
          </c:extLst>
        </c:ser>
        <c:ser>
          <c:idx val="10"/>
          <c:order val="10"/>
          <c:tx>
            <c:strRef>
              <c:f>'Analyse d''impacts'!$A$16</c:f>
              <c:strCache>
                <c:ptCount val="1"/>
                <c:pt idx="0">
                  <c:v>minerai d'uranium</c:v>
                </c:pt>
              </c:strCache>
            </c:strRef>
          </c:tx>
          <c:spPr>
            <a:solidFill>
              <a:schemeClr val="accent5">
                <a:lumMod val="60000"/>
              </a:schemeClr>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d''impacts'!$O$16:$Z$16</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A-1DAB-41F2-BD67-B8496C2149C5}"/>
            </c:ext>
          </c:extLst>
        </c:ser>
        <c:ser>
          <c:idx val="11"/>
          <c:order val="11"/>
          <c:tx>
            <c:strRef>
              <c:f>'Analyse d''impacts'!$A$17</c:f>
              <c:strCache>
                <c:ptCount val="1"/>
                <c:pt idx="0">
                  <c:v>onduleur</c:v>
                </c:pt>
              </c:strCache>
            </c:strRef>
          </c:tx>
          <c:spPr>
            <a:solidFill>
              <a:schemeClr val="accent6">
                <a:lumMod val="60000"/>
              </a:schemeClr>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d''impacts'!$O$17:$Z$17</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B-1DAB-41F2-BD67-B8496C2149C5}"/>
            </c:ext>
          </c:extLst>
        </c:ser>
        <c:ser>
          <c:idx val="12"/>
          <c:order val="12"/>
          <c:tx>
            <c:strRef>
              <c:f>'Analyse d''impacts'!$A$18</c:f>
              <c:strCache>
                <c:ptCount val="1"/>
                <c:pt idx="0">
                  <c:v>électricité du réseau, France</c:v>
                </c:pt>
              </c:strCache>
            </c:strRef>
          </c:tx>
          <c:spPr>
            <a:solidFill>
              <a:schemeClr val="accent1">
                <a:lumMod val="80000"/>
                <a:lumOff val="20000"/>
              </a:schemeClr>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d''impacts'!$O$18:$Z$18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C-1DAB-41F2-BD67-B8496C2149C5}"/>
            </c:ext>
          </c:extLst>
        </c:ser>
        <c:ser>
          <c:idx val="13"/>
          <c:order val="13"/>
          <c:tx>
            <c:strRef>
              <c:f>'Analyse d''impacts'!$A$19</c:f>
              <c:strCache>
                <c:ptCount val="1"/>
                <c:pt idx="0">
                  <c:v>électricité du réseau, Allemagne</c:v>
                </c:pt>
              </c:strCache>
            </c:strRef>
          </c:tx>
          <c:spPr>
            <a:solidFill>
              <a:schemeClr val="accent2">
                <a:lumMod val="80000"/>
                <a:lumOff val="20000"/>
              </a:schemeClr>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d''impacts'!$O$19:$Z$19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1DAB-41F2-BD67-B8496C2149C5}"/>
            </c:ext>
          </c:extLst>
        </c:ser>
        <c:ser>
          <c:idx val="14"/>
          <c:order val="14"/>
          <c:tx>
            <c:strRef>
              <c:f>'Analyse d''impacts'!$A$20</c:f>
              <c:strCache>
                <c:ptCount val="1"/>
                <c:pt idx="0">
                  <c:v>électricité du réseau, Chine</c:v>
                </c:pt>
              </c:strCache>
            </c:strRef>
          </c:tx>
          <c:spPr>
            <a:solidFill>
              <a:schemeClr val="accent3">
                <a:lumMod val="80000"/>
                <a:lumOff val="20000"/>
              </a:schemeClr>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d''impacts'!$O$20:$Z$20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E-1DAB-41F2-BD67-B8496C2149C5}"/>
            </c:ext>
          </c:extLst>
        </c:ser>
        <c:ser>
          <c:idx val="15"/>
          <c:order val="15"/>
          <c:tx>
            <c:strRef>
              <c:f>'Analyse d''impacts'!$A$21</c:f>
              <c:strCache>
                <c:ptCount val="1"/>
                <c:pt idx="0">
                  <c:v>silicium raffiné</c:v>
                </c:pt>
              </c:strCache>
            </c:strRef>
          </c:tx>
          <c:spPr>
            <a:solidFill>
              <a:schemeClr val="accent4">
                <a:lumMod val="80000"/>
                <a:lumOff val="20000"/>
              </a:schemeClr>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d''impacts'!$O$21:$Z$21</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F-1DAB-41F2-BD67-B8496C2149C5}"/>
            </c:ext>
          </c:extLst>
        </c:ser>
        <c:ser>
          <c:idx val="16"/>
          <c:order val="16"/>
          <c:tx>
            <c:strRef>
              <c:f>'Analyse d''impacts'!$A$22</c:f>
              <c:strCache>
                <c:ptCount val="1"/>
                <c:pt idx="0">
                  <c:v>acier</c:v>
                </c:pt>
              </c:strCache>
            </c:strRef>
          </c:tx>
          <c:spPr>
            <a:solidFill>
              <a:schemeClr val="accent5">
                <a:lumMod val="80000"/>
                <a:lumOff val="20000"/>
              </a:schemeClr>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d''impacts'!$O$22:$Z$22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0-1DAB-41F2-BD67-B8496C2149C5}"/>
            </c:ext>
          </c:extLst>
        </c:ser>
        <c:ser>
          <c:idx val="17"/>
          <c:order val="17"/>
          <c:tx>
            <c:strRef>
              <c:f>'Analyse d''impacts'!$A$23</c:f>
              <c:strCache>
                <c:ptCount val="1"/>
                <c:pt idx="0">
                  <c:v>fonte</c:v>
                </c:pt>
              </c:strCache>
            </c:strRef>
          </c:tx>
          <c:spPr>
            <a:solidFill>
              <a:schemeClr val="accent6">
                <a:lumMod val="80000"/>
                <a:lumOff val="20000"/>
              </a:schemeClr>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d''impacts'!$O$23:$Z$23</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1-1DAB-41F2-BD67-B8496C2149C5}"/>
            </c:ext>
          </c:extLst>
        </c:ser>
        <c:ser>
          <c:idx val="18"/>
          <c:order val="18"/>
          <c:tx>
            <c:strRef>
              <c:f>'Analyse d''impacts'!$A$24</c:f>
              <c:strCache>
                <c:ptCount val="1"/>
                <c:pt idx="0">
                  <c:v>aluminium</c:v>
                </c:pt>
              </c:strCache>
            </c:strRef>
          </c:tx>
          <c:spPr>
            <a:solidFill>
              <a:schemeClr val="accent1">
                <a:lumMod val="80000"/>
              </a:schemeClr>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d''impacts'!$O$24:$Z$24</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2-1DAB-41F2-BD67-B8496C2149C5}"/>
            </c:ext>
          </c:extLst>
        </c:ser>
        <c:ser>
          <c:idx val="19"/>
          <c:order val="19"/>
          <c:tx>
            <c:strRef>
              <c:f>'Analyse d''impacts'!$A$25</c:f>
              <c:strCache>
                <c:ptCount val="1"/>
                <c:pt idx="0">
                  <c:v>verre</c:v>
                </c:pt>
              </c:strCache>
            </c:strRef>
          </c:tx>
          <c:spPr>
            <a:solidFill>
              <a:schemeClr val="accent2">
                <a:lumMod val="80000"/>
              </a:schemeClr>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d''impacts'!$O$25:$Z$25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3-1DAB-41F2-BD67-B8496C2149C5}"/>
            </c:ext>
          </c:extLst>
        </c:ser>
        <c:ser>
          <c:idx val="20"/>
          <c:order val="20"/>
          <c:tx>
            <c:strRef>
              <c:f>'Analyse d''impacts'!$A$26</c:f>
              <c:strCache>
                <c:ptCount val="1"/>
                <c:pt idx="0">
                  <c:v>peinture</c:v>
                </c:pt>
              </c:strCache>
            </c:strRef>
          </c:tx>
          <c:spPr>
            <a:solidFill>
              <a:schemeClr val="accent3">
                <a:lumMod val="80000"/>
              </a:schemeClr>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d''impacts'!$O$26:$Z$26</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4-1DAB-41F2-BD67-B8496C2149C5}"/>
            </c:ext>
          </c:extLst>
        </c:ser>
        <c:ser>
          <c:idx val="21"/>
          <c:order val="21"/>
          <c:tx>
            <c:strRef>
              <c:f>'Analyse d''impacts'!$A$27</c:f>
              <c:strCache>
                <c:ptCount val="1"/>
                <c:pt idx="0">
                  <c:v>plastiques</c:v>
                </c:pt>
              </c:strCache>
            </c:strRef>
          </c:tx>
          <c:spPr>
            <a:solidFill>
              <a:schemeClr val="accent4">
                <a:lumMod val="80000"/>
              </a:schemeClr>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d''impacts'!$O$27:$Z$27</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5-1DAB-41F2-BD67-B8496C2149C5}"/>
            </c:ext>
          </c:extLst>
        </c:ser>
        <c:ser>
          <c:idx val="22"/>
          <c:order val="22"/>
          <c:tx>
            <c:strRef>
              <c:f>'Analyse d''impacts'!$A$28</c:f>
              <c:strCache>
                <c:ptCount val="1"/>
                <c:pt idx="0">
                  <c:v>gomme</c:v>
                </c:pt>
              </c:strCache>
            </c:strRef>
          </c:tx>
          <c:spPr>
            <a:solidFill>
              <a:schemeClr val="accent5">
                <a:lumMod val="80000"/>
              </a:schemeClr>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d''impacts'!$O$28:$Z$28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6-1DAB-41F2-BD67-B8496C2149C5}"/>
            </c:ext>
          </c:extLst>
        </c:ser>
        <c:ser>
          <c:idx val="23"/>
          <c:order val="23"/>
          <c:tx>
            <c:strRef>
              <c:f>'Analyse d''impacts'!$A$29</c:f>
              <c:strCache>
                <c:ptCount val="1"/>
                <c:pt idx="0">
                  <c:v>lubrifiant</c:v>
                </c:pt>
              </c:strCache>
            </c:strRef>
          </c:tx>
          <c:spPr>
            <a:solidFill>
              <a:schemeClr val="accent6">
                <a:lumMod val="80000"/>
              </a:schemeClr>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d''impacts'!$O$29:$Z$29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7-1DAB-41F2-BD67-B8496C2149C5}"/>
            </c:ext>
          </c:extLst>
        </c:ser>
        <c:ser>
          <c:idx val="24"/>
          <c:order val="24"/>
          <c:tx>
            <c:strRef>
              <c:f>'Analyse d''impacts'!$A$30</c:f>
              <c:strCache>
                <c:ptCount val="1"/>
                <c:pt idx="0">
                  <c:v>cuivre</c:v>
                </c:pt>
              </c:strCache>
            </c:strRef>
          </c:tx>
          <c:spPr>
            <a:solidFill>
              <a:schemeClr val="accent1">
                <a:lumMod val="60000"/>
                <a:lumOff val="40000"/>
              </a:schemeClr>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d''impacts'!$O$30:$Z$30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8-1DAB-41F2-BD67-B8496C2149C5}"/>
            </c:ext>
          </c:extLst>
        </c:ser>
        <c:ser>
          <c:idx val="25"/>
          <c:order val="25"/>
          <c:tx>
            <c:strRef>
              <c:f>'Analyse d''impacts'!$A$31</c:f>
              <c:strCache>
                <c:ptCount val="1"/>
                <c:pt idx="0">
                  <c:v>métaux non ferreux</c:v>
                </c:pt>
              </c:strCache>
            </c:strRef>
          </c:tx>
          <c:spPr>
            <a:solidFill>
              <a:schemeClr val="accent2">
                <a:lumMod val="60000"/>
                <a:lumOff val="40000"/>
              </a:schemeClr>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d''impacts'!$O$31:$Z$31</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9-1DAB-41F2-BD67-B8496C2149C5}"/>
            </c:ext>
          </c:extLst>
        </c:ser>
        <c:ser>
          <c:idx val="26"/>
          <c:order val="26"/>
          <c:tx>
            <c:strRef>
              <c:f>'Analyse d''impacts'!$A$32</c:f>
              <c:strCache>
                <c:ptCount val="1"/>
                <c:pt idx="0">
                  <c:v>électronique</c:v>
                </c:pt>
              </c:strCache>
            </c:strRef>
          </c:tx>
          <c:spPr>
            <a:solidFill>
              <a:schemeClr val="accent3">
                <a:lumMod val="60000"/>
                <a:lumOff val="40000"/>
              </a:schemeClr>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d''impacts'!$O$32:$Z$32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A-1DAB-41F2-BD67-B8496C2149C5}"/>
            </c:ext>
          </c:extLst>
        </c:ser>
        <c:ser>
          <c:idx val="27"/>
          <c:order val="27"/>
          <c:tx>
            <c:strRef>
              <c:f>'Analyse d''impacts'!$A$33</c:f>
              <c:strCache>
                <c:ptCount val="1"/>
                <c:pt idx="0">
                  <c:v>béton</c:v>
                </c:pt>
              </c:strCache>
            </c:strRef>
          </c:tx>
          <c:spPr>
            <a:solidFill>
              <a:schemeClr val="accent4">
                <a:lumMod val="60000"/>
                <a:lumOff val="40000"/>
              </a:schemeClr>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d''impacts'!$O$33:$Z$33</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B-1DAB-41F2-BD67-B8496C2149C5}"/>
            </c:ext>
          </c:extLst>
        </c:ser>
        <c:ser>
          <c:idx val="28"/>
          <c:order val="28"/>
          <c:tx>
            <c:strRef>
              <c:f>'Analyse d''impacts'!$A$34</c:f>
              <c:strCache>
                <c:ptCount val="1"/>
                <c:pt idx="0">
                  <c:v>électricité hydroélectrique</c:v>
                </c:pt>
              </c:strCache>
            </c:strRef>
          </c:tx>
          <c:spPr>
            <a:solidFill>
              <a:schemeClr val="accent5">
                <a:lumMod val="60000"/>
                <a:lumOff val="40000"/>
              </a:schemeClr>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d''impacts'!$O$34:$Z$34</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C-1DAB-41F2-BD67-B8496C2149C5}"/>
            </c:ext>
          </c:extLst>
        </c:ser>
        <c:ser>
          <c:idx val="29"/>
          <c:order val="29"/>
          <c:tx>
            <c:strRef>
              <c:f>'Analyse d''impacts'!$A$35</c:f>
              <c:strCache>
                <c:ptCount val="1"/>
                <c:pt idx="0">
                  <c:v>électricité au charbon</c:v>
                </c:pt>
              </c:strCache>
            </c:strRef>
          </c:tx>
          <c:spPr>
            <a:solidFill>
              <a:schemeClr val="accent6">
                <a:lumMod val="60000"/>
                <a:lumOff val="40000"/>
              </a:schemeClr>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d''impacts'!$O$35:$Z$35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D-1DAB-41F2-BD67-B8496C2149C5}"/>
            </c:ext>
          </c:extLst>
        </c:ser>
        <c:ser>
          <c:idx val="30"/>
          <c:order val="30"/>
          <c:tx>
            <c:strRef>
              <c:f>'Analyse d''impacts'!$A$36</c:f>
              <c:strCache>
                <c:ptCount val="1"/>
                <c:pt idx="0">
                  <c:v>électricité au gaz</c:v>
                </c:pt>
              </c:strCache>
            </c:strRef>
          </c:tx>
          <c:spPr>
            <a:solidFill>
              <a:schemeClr val="accent1">
                <a:lumMod val="50000"/>
              </a:schemeClr>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d''impacts'!$O$36:$Z$36</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E-1DAB-41F2-BD67-B8496C2149C5}"/>
            </c:ext>
          </c:extLst>
        </c:ser>
        <c:ser>
          <c:idx val="31"/>
          <c:order val="31"/>
          <c:tx>
            <c:strRef>
              <c:f>'Analyse d''impacts'!$A$37</c:f>
              <c:strCache>
                <c:ptCount val="1"/>
                <c:pt idx="0">
                  <c:v>électricité, autre</c:v>
                </c:pt>
              </c:strCache>
            </c:strRef>
          </c:tx>
          <c:spPr>
            <a:solidFill>
              <a:schemeClr val="accent2">
                <a:lumMod val="50000"/>
              </a:schemeClr>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d''impacts'!$O$37:$Z$37</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F-1DAB-41F2-BD67-B8496C2149C5}"/>
            </c:ext>
          </c:extLst>
        </c:ser>
        <c:ser>
          <c:idx val="32"/>
          <c:order val="32"/>
          <c:tx>
            <c:strRef>
              <c:f>'Analyse d''impacts'!$A$38</c:f>
              <c:strCache>
                <c:ptCount val="1"/>
                <c:pt idx="0">
                  <c:v>diesel, combustion</c:v>
                </c:pt>
              </c:strCache>
            </c:strRef>
          </c:tx>
          <c:spPr>
            <a:solidFill>
              <a:schemeClr val="accent3">
                <a:lumMod val="50000"/>
              </a:schemeClr>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d''impacts'!$O$38:$Z$38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20-1DAB-41F2-BD67-B8496C2149C5}"/>
            </c:ext>
          </c:extLst>
        </c:ser>
        <c:ser>
          <c:idx val="33"/>
          <c:order val="33"/>
          <c:tx>
            <c:strRef>
              <c:f>'Analyse d''impacts'!$A$39</c:f>
              <c:strCache>
                <c:ptCount val="1"/>
                <c:pt idx="0">
                  <c:v>chaleur, gaz</c:v>
                </c:pt>
              </c:strCache>
            </c:strRef>
          </c:tx>
          <c:spPr>
            <a:solidFill>
              <a:schemeClr val="accent4">
                <a:lumMod val="50000"/>
              </a:schemeClr>
            </a:solidFill>
            <a:ln>
              <a:noFill/>
            </a:ln>
            <a:effectLst/>
          </c:spPr>
          <c:invertIfNegative val="0"/>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d''impacts'!$O$39:$Z$39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21-1DAB-41F2-BD67-B8496C2149C5}"/>
            </c:ext>
          </c:extLst>
        </c:ser>
        <c:dLbls>
          <c:showLegendKey val="0"/>
          <c:showVal val="0"/>
          <c:showCatName val="0"/>
          <c:showSerName val="0"/>
          <c:showPercent val="0"/>
          <c:showBubbleSize val="0"/>
        </c:dLbls>
        <c:gapWidth val="150"/>
        <c:overlap val="100"/>
        <c:axId val="519000912"/>
        <c:axId val="212952096"/>
      </c:barChart>
      <c:lineChart>
        <c:grouping val="stacked"/>
        <c:varyColors val="0"/>
        <c:ser>
          <c:idx val="34"/>
          <c:order val="34"/>
          <c:tx>
            <c:strRef>
              <c:f>'Analyse d''impacts'!$A$40</c:f>
              <c:strCache>
                <c:ptCount val="1"/>
                <c:pt idx="0">
                  <c:v>total</c:v>
                </c:pt>
              </c:strCache>
            </c:strRef>
          </c:tx>
          <c:spPr>
            <a:ln w="2540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'Analyse d''impacts'!$O$2:$Z$3</c:f>
              <c:multiLvlStrCache>
                <c:ptCount val="12"/>
                <c:lvl>
                  <c:pt idx="0">
                    <c:v>électricité photovoltaïque</c:v>
                  </c:pt>
                  <c:pt idx="1">
                    <c:v>électricité éolienne</c:v>
                  </c:pt>
                  <c:pt idx="2">
                    <c:v>électricité nucléaire</c:v>
                  </c:pt>
                  <c:pt idx="3">
                    <c:v>électricité photovoltaïque</c:v>
                  </c:pt>
                  <c:pt idx="4">
                    <c:v>électricité éolienne</c:v>
                  </c:pt>
                  <c:pt idx="5">
                    <c:v>électricité nucléaire</c:v>
                  </c:pt>
                  <c:pt idx="6">
                    <c:v>électricité photovoltaïque</c:v>
                  </c:pt>
                  <c:pt idx="7">
                    <c:v>électricité éolienne</c:v>
                  </c:pt>
                  <c:pt idx="8">
                    <c:v>électricité nucléaire</c:v>
                  </c:pt>
                  <c:pt idx="9">
                    <c:v>électricité photovoltaïque</c:v>
                  </c:pt>
                  <c:pt idx="10">
                    <c:v>électricité éolienne</c:v>
                  </c:pt>
                  <c:pt idx="11">
                    <c:v>électricité nucléaire</c:v>
                  </c:pt>
                </c:lvl>
                <c:lvl>
                  <c:pt idx="0">
                    <c:v>Changement climatique (g CO2 eq.)</c:v>
                  </c:pt>
                  <c:pt idx="3">
                    <c:v>Énergie primaire (MJ)</c:v>
                  </c:pt>
                  <c:pt idx="6">
                    <c:v>Matériaux (10 μg Sb eq.)</c:v>
                  </c:pt>
                  <c:pt idx="9">
                    <c:v>Emprise au sol (100 m2)</c:v>
                  </c:pt>
                </c:lvl>
              </c:multiLvlStrCache>
            </c:multiLvlStrRef>
          </c:cat>
          <c:val>
            <c:numRef>
              <c:f>'Analyse d''impacts'!$O$40:$Z$40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22-1DAB-41F2-BD67-B8496C2149C5}"/>
            </c:ext>
          </c:extLst>
        </c:ser>
        <c:dLbls>
          <c:showLegendKey val="0"/>
          <c:showVal val="0"/>
          <c:showCatName val="0"/>
          <c:showSerName val="0"/>
          <c:showPercent val="0"/>
          <c:showBubbleSize val="0"/>
        </c:dLbls>
        <c:marker val="1"/>
        <c:smooth val="0"/>
        <c:axId val="519000912"/>
        <c:axId val="212952096"/>
      </c:lineChart>
      <c:catAx>
        <c:axId val="51900091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212952096"/>
        <c:crosses val="autoZero"/>
        <c:auto val="1"/>
        <c:lblAlgn val="ctr"/>
        <c:lblOffset val="100"/>
        <c:noMultiLvlLbl val="0"/>
      </c:catAx>
      <c:valAx>
        <c:axId val="212952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51900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Arial Nova" panose="020B05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emf"/><Relationship Id="rId3" Type="http://schemas.openxmlformats.org/officeDocument/2006/relationships/image" Target="../media/image3.png"/><Relationship Id="rId7" Type="http://schemas.openxmlformats.org/officeDocument/2006/relationships/image" Target="../media/image7.emf"/><Relationship Id="rId12" Type="http://schemas.openxmlformats.org/officeDocument/2006/relationships/image" Target="../media/image12.emf"/><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emf"/><Relationship Id="rId11" Type="http://schemas.openxmlformats.org/officeDocument/2006/relationships/image" Target="../media/image11.emf"/><Relationship Id="rId5" Type="http://schemas.openxmlformats.org/officeDocument/2006/relationships/image" Target="../media/image5.jpeg"/><Relationship Id="rId10" Type="http://schemas.openxmlformats.org/officeDocument/2006/relationships/image" Target="../media/image10.emf"/><Relationship Id="rId4" Type="http://schemas.openxmlformats.org/officeDocument/2006/relationships/image" Target="../media/image4.svg"/><Relationship Id="rId9" Type="http://schemas.openxmlformats.org/officeDocument/2006/relationships/image" Target="../media/image9.emf"/></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20</xdr:col>
      <xdr:colOff>194892</xdr:colOff>
      <xdr:row>10</xdr:row>
      <xdr:rowOff>40934</xdr:rowOff>
    </xdr:from>
    <xdr:to>
      <xdr:col>22</xdr:col>
      <xdr:colOff>131151</xdr:colOff>
      <xdr:row>16</xdr:row>
      <xdr:rowOff>42041</xdr:rowOff>
    </xdr:to>
    <xdr:pic>
      <xdr:nvPicPr>
        <xdr:cNvPr id="3" name="Graphic 2" descr="Atom with solid fill">
          <a:extLst>
            <a:ext uri="{FF2B5EF4-FFF2-40B4-BE49-F238E27FC236}">
              <a16:creationId xmlns:a16="http://schemas.microsoft.com/office/drawing/2014/main" id="{D1B5CC14-CE97-E347-CB63-EFFD65EA0B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20236" y="1482792"/>
          <a:ext cx="914975" cy="918654"/>
        </a:xfrm>
        <a:prstGeom prst="rect">
          <a:avLst/>
        </a:prstGeom>
      </xdr:spPr>
    </xdr:pic>
    <xdr:clientData/>
  </xdr:twoCellAnchor>
  <xdr:twoCellAnchor editAs="oneCell">
    <xdr:from>
      <xdr:col>22</xdr:col>
      <xdr:colOff>152645</xdr:colOff>
      <xdr:row>6</xdr:row>
      <xdr:rowOff>49672</xdr:rowOff>
    </xdr:from>
    <xdr:to>
      <xdr:col>24</xdr:col>
      <xdr:colOff>427474</xdr:colOff>
      <xdr:row>14</xdr:row>
      <xdr:rowOff>106611</xdr:rowOff>
    </xdr:to>
    <xdr:pic>
      <xdr:nvPicPr>
        <xdr:cNvPr id="5" name="Graphic 4" descr="Wind Turbines with solid fill">
          <a:extLst>
            <a:ext uri="{FF2B5EF4-FFF2-40B4-BE49-F238E27FC236}">
              <a16:creationId xmlns:a16="http://schemas.microsoft.com/office/drawing/2014/main" id="{4907B6B5-E830-710B-2800-F0E83CCFC22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955718" y="1054603"/>
          <a:ext cx="1253544" cy="1262857"/>
        </a:xfrm>
        <a:prstGeom prst="rect">
          <a:avLst/>
        </a:prstGeom>
      </xdr:spPr>
    </xdr:pic>
    <xdr:clientData/>
  </xdr:twoCellAnchor>
  <xdr:twoCellAnchor editAs="oneCell">
    <xdr:from>
      <xdr:col>19</xdr:col>
      <xdr:colOff>334958</xdr:colOff>
      <xdr:row>1</xdr:row>
      <xdr:rowOff>20499</xdr:rowOff>
    </xdr:from>
    <xdr:to>
      <xdr:col>22</xdr:col>
      <xdr:colOff>410711</xdr:colOff>
      <xdr:row>9</xdr:row>
      <xdr:rowOff>51743</xdr:rowOff>
    </xdr:to>
    <xdr:pic>
      <xdr:nvPicPr>
        <xdr:cNvPr id="6" name="Picture 5" descr="Image vectorielle Stock Solar Panels Icon Vector or Solar Panels Icon  Isolated on White Background. Solar Panel icon for mobile application or  website menu. Solar panel icon simple design, for content about">
          <a:extLst>
            <a:ext uri="{FF2B5EF4-FFF2-40B4-BE49-F238E27FC236}">
              <a16:creationId xmlns:a16="http://schemas.microsoft.com/office/drawing/2014/main" id="{3FFF677F-9234-29F0-AD2B-C95551A6E841}"/>
            </a:ext>
          </a:extLst>
        </xdr:cNvPr>
        <xdr:cNvPicPr>
          <a:picLocks noChangeAspect="1" noChangeArrowheads="1"/>
        </xdr:cNvPicPr>
      </xdr:nvPicPr>
      <xdr:blipFill rotWithShape="1">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l="11643" t="14467" r="11643" b="14467"/>
        <a:stretch>
          <a:fillRect/>
        </a:stretch>
      </xdr:blipFill>
      <xdr:spPr bwMode="auto">
        <a:xfrm>
          <a:off x="13669958" y="169054"/>
          <a:ext cx="1543827" cy="13934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55486</xdr:colOff>
      <xdr:row>5</xdr:row>
      <xdr:rowOff>149186</xdr:rowOff>
    </xdr:from>
    <xdr:to>
      <xdr:col>3</xdr:col>
      <xdr:colOff>550786</xdr:colOff>
      <xdr:row>7</xdr:row>
      <xdr:rowOff>5412</xdr:rowOff>
    </xdr:to>
    <xdr:pic>
      <xdr:nvPicPr>
        <xdr:cNvPr id="8" name="Picture 7">
          <a:extLst>
            <a:ext uri="{FF2B5EF4-FFF2-40B4-BE49-F238E27FC236}">
              <a16:creationId xmlns:a16="http://schemas.microsoft.com/office/drawing/2014/main" id="{EC2B0453-90F4-1653-B631-60EF3292E45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335998" y="1055782"/>
          <a:ext cx="495300" cy="149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57380</xdr:colOff>
      <xdr:row>7</xdr:row>
      <xdr:rowOff>975</xdr:rowOff>
    </xdr:from>
    <xdr:to>
      <xdr:col>3</xdr:col>
      <xdr:colOff>548893</xdr:colOff>
      <xdr:row>8</xdr:row>
      <xdr:rowOff>4438</xdr:rowOff>
    </xdr:to>
    <xdr:pic>
      <xdr:nvPicPr>
        <xdr:cNvPr id="9" name="Picture 8">
          <a:extLst>
            <a:ext uri="{FF2B5EF4-FFF2-40B4-BE49-F238E27FC236}">
              <a16:creationId xmlns:a16="http://schemas.microsoft.com/office/drawing/2014/main" id="{DA37F0B5-9B70-7EA6-B4E5-A480E24038D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337892" y="1205945"/>
          <a:ext cx="491513" cy="1472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55486</xdr:colOff>
      <xdr:row>8</xdr:row>
      <xdr:rowOff>0</xdr:rowOff>
    </xdr:from>
    <xdr:to>
      <xdr:col>3</xdr:col>
      <xdr:colOff>550786</xdr:colOff>
      <xdr:row>9</xdr:row>
      <xdr:rowOff>0</xdr:rowOff>
    </xdr:to>
    <xdr:pic>
      <xdr:nvPicPr>
        <xdr:cNvPr id="10" name="Picture 9">
          <a:extLst>
            <a:ext uri="{FF2B5EF4-FFF2-40B4-BE49-F238E27FC236}">
              <a16:creationId xmlns:a16="http://schemas.microsoft.com/office/drawing/2014/main" id="{E43D1EF4-FDE0-C600-0DC2-787C0AC5B23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335998" y="1354157"/>
          <a:ext cx="495300" cy="149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116973</xdr:colOff>
      <xdr:row>14</xdr:row>
      <xdr:rowOff>125329</xdr:rowOff>
    </xdr:from>
    <xdr:to>
      <xdr:col>5</xdr:col>
      <xdr:colOff>612273</xdr:colOff>
      <xdr:row>15</xdr:row>
      <xdr:rowOff>134854</xdr:rowOff>
    </xdr:to>
    <xdr:pic>
      <xdr:nvPicPr>
        <xdr:cNvPr id="11" name="Picture 10">
          <a:extLst>
            <a:ext uri="{FF2B5EF4-FFF2-40B4-BE49-F238E27FC236}">
              <a16:creationId xmlns:a16="http://schemas.microsoft.com/office/drawing/2014/main" id="{26C9BC51-DDE8-5F09-D962-51A001C5B1D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rot="18900000">
          <a:off x="6333289" y="2414671"/>
          <a:ext cx="495300" cy="159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367631</xdr:colOff>
      <xdr:row>30</xdr:row>
      <xdr:rowOff>83552</xdr:rowOff>
    </xdr:from>
    <xdr:to>
      <xdr:col>5</xdr:col>
      <xdr:colOff>2339</xdr:colOff>
      <xdr:row>31</xdr:row>
      <xdr:rowOff>93077</xdr:rowOff>
    </xdr:to>
    <xdr:pic>
      <xdr:nvPicPr>
        <xdr:cNvPr id="12" name="Picture 11">
          <a:extLst>
            <a:ext uri="{FF2B5EF4-FFF2-40B4-BE49-F238E27FC236}">
              <a16:creationId xmlns:a16="http://schemas.microsoft.com/office/drawing/2014/main" id="{3A5C4683-6FF8-8D12-607F-F8ECDE92738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723355" y="6333289"/>
          <a:ext cx="495300" cy="159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242302</xdr:colOff>
      <xdr:row>29</xdr:row>
      <xdr:rowOff>0</xdr:rowOff>
    </xdr:from>
    <xdr:to>
      <xdr:col>9</xdr:col>
      <xdr:colOff>251827</xdr:colOff>
      <xdr:row>30</xdr:row>
      <xdr:rowOff>9525</xdr:rowOff>
    </xdr:to>
    <xdr:pic>
      <xdr:nvPicPr>
        <xdr:cNvPr id="13" name="Picture 12">
          <a:extLst>
            <a:ext uri="{FF2B5EF4-FFF2-40B4-BE49-F238E27FC236}">
              <a16:creationId xmlns:a16="http://schemas.microsoft.com/office/drawing/2014/main" id="{CE66E97C-2442-9051-C27F-B3C3913E31C9}"/>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8388684" y="6099342"/>
          <a:ext cx="494130" cy="159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29</xdr:row>
      <xdr:rowOff>0</xdr:rowOff>
    </xdr:from>
    <xdr:to>
      <xdr:col>18</xdr:col>
      <xdr:colOff>9525</xdr:colOff>
      <xdr:row>30</xdr:row>
      <xdr:rowOff>9525</xdr:rowOff>
    </xdr:to>
    <xdr:pic>
      <xdr:nvPicPr>
        <xdr:cNvPr id="14" name="Picture 13">
          <a:extLst>
            <a:ext uri="{FF2B5EF4-FFF2-40B4-BE49-F238E27FC236}">
              <a16:creationId xmlns:a16="http://schemas.microsoft.com/office/drawing/2014/main" id="{2637B93E-AC58-B2EE-6628-30DBF6E94C3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2515850" y="6134100"/>
          <a:ext cx="495300"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250658</xdr:colOff>
      <xdr:row>26</xdr:row>
      <xdr:rowOff>16711</xdr:rowOff>
    </xdr:from>
    <xdr:to>
      <xdr:col>17</xdr:col>
      <xdr:colOff>250658</xdr:colOff>
      <xdr:row>29</xdr:row>
      <xdr:rowOff>8356</xdr:rowOff>
    </xdr:to>
    <xdr:cxnSp macro="">
      <xdr:nvCxnSpPr>
        <xdr:cNvPr id="16" name="Straight Arrow Connector 15">
          <a:extLst>
            <a:ext uri="{FF2B5EF4-FFF2-40B4-BE49-F238E27FC236}">
              <a16:creationId xmlns:a16="http://schemas.microsoft.com/office/drawing/2014/main" id="{A35040AE-7CB6-6344-AD56-A7FE4EAE3CAF}"/>
            </a:ext>
          </a:extLst>
        </xdr:cNvPr>
        <xdr:cNvCxnSpPr/>
      </xdr:nvCxnSpPr>
      <xdr:spPr>
        <a:xfrm flipH="1" flipV="1">
          <a:off x="12758487" y="5673224"/>
          <a:ext cx="0" cy="43447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247065</xdr:colOff>
      <xdr:row>30</xdr:row>
      <xdr:rowOff>9525</xdr:rowOff>
    </xdr:from>
    <xdr:to>
      <xdr:col>17</xdr:col>
      <xdr:colOff>247065</xdr:colOff>
      <xdr:row>51</xdr:row>
      <xdr:rowOff>16710</xdr:rowOff>
    </xdr:to>
    <xdr:cxnSp macro="">
      <xdr:nvCxnSpPr>
        <xdr:cNvPr id="17" name="Straight Arrow Connector 16">
          <a:extLst>
            <a:ext uri="{FF2B5EF4-FFF2-40B4-BE49-F238E27FC236}">
              <a16:creationId xmlns:a16="http://schemas.microsoft.com/office/drawing/2014/main" id="{377A1767-50A9-C070-E086-F5E439662543}"/>
            </a:ext>
          </a:extLst>
        </xdr:cNvPr>
        <xdr:cNvCxnSpPr>
          <a:stCxn id="14" idx="2"/>
        </xdr:cNvCxnSpPr>
      </xdr:nvCxnSpPr>
      <xdr:spPr>
        <a:xfrm>
          <a:off x="12754894" y="6259262"/>
          <a:ext cx="0" cy="301508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601579</xdr:colOff>
      <xdr:row>27</xdr:row>
      <xdr:rowOff>33421</xdr:rowOff>
    </xdr:from>
    <xdr:to>
      <xdr:col>4</xdr:col>
      <xdr:colOff>601579</xdr:colOff>
      <xdr:row>30</xdr:row>
      <xdr:rowOff>75198</xdr:rowOff>
    </xdr:to>
    <xdr:cxnSp macro="">
      <xdr:nvCxnSpPr>
        <xdr:cNvPr id="20" name="Straight Arrow Connector 19">
          <a:extLst>
            <a:ext uri="{FF2B5EF4-FFF2-40B4-BE49-F238E27FC236}">
              <a16:creationId xmlns:a16="http://schemas.microsoft.com/office/drawing/2014/main" id="{AB10F7C5-1839-6A12-10FE-24E4D1E58B32}"/>
            </a:ext>
          </a:extLst>
        </xdr:cNvPr>
        <xdr:cNvCxnSpPr/>
      </xdr:nvCxnSpPr>
      <xdr:spPr>
        <a:xfrm flipV="1">
          <a:off x="5957303" y="5840329"/>
          <a:ext cx="0" cy="48460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2339</xdr:colOff>
      <xdr:row>31</xdr:row>
      <xdr:rowOff>13117</xdr:rowOff>
    </xdr:from>
    <xdr:to>
      <xdr:col>5</xdr:col>
      <xdr:colOff>927434</xdr:colOff>
      <xdr:row>32</xdr:row>
      <xdr:rowOff>0</xdr:rowOff>
    </xdr:to>
    <xdr:cxnSp macro="">
      <xdr:nvCxnSpPr>
        <xdr:cNvPr id="22" name="Straight Arrow Connector 21">
          <a:extLst>
            <a:ext uri="{FF2B5EF4-FFF2-40B4-BE49-F238E27FC236}">
              <a16:creationId xmlns:a16="http://schemas.microsoft.com/office/drawing/2014/main" id="{9E101F6B-E163-8853-865E-0392941EB2CC}"/>
            </a:ext>
          </a:extLst>
        </xdr:cNvPr>
        <xdr:cNvCxnSpPr>
          <a:stCxn id="12" idx="3"/>
        </xdr:cNvCxnSpPr>
      </xdr:nvCxnSpPr>
      <xdr:spPr>
        <a:xfrm>
          <a:off x="6218655" y="6413249"/>
          <a:ext cx="925095" cy="12892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720892</xdr:colOff>
      <xdr:row>29</xdr:row>
      <xdr:rowOff>83553</xdr:rowOff>
    </xdr:from>
    <xdr:to>
      <xdr:col>5</xdr:col>
      <xdr:colOff>0</xdr:colOff>
      <xdr:row>30</xdr:row>
      <xdr:rowOff>79959</xdr:rowOff>
    </xdr:to>
    <xdr:cxnSp macro="">
      <xdr:nvCxnSpPr>
        <xdr:cNvPr id="25" name="Straight Arrow Connector 24">
          <a:extLst>
            <a:ext uri="{FF2B5EF4-FFF2-40B4-BE49-F238E27FC236}">
              <a16:creationId xmlns:a16="http://schemas.microsoft.com/office/drawing/2014/main" id="{7204C09E-788E-6CE8-2AA4-B19944D01D63}"/>
            </a:ext>
          </a:extLst>
        </xdr:cNvPr>
        <xdr:cNvCxnSpPr/>
      </xdr:nvCxnSpPr>
      <xdr:spPr>
        <a:xfrm flipV="1">
          <a:off x="6076616" y="6182895"/>
          <a:ext cx="139700" cy="14680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244642</xdr:colOff>
      <xdr:row>29</xdr:row>
      <xdr:rowOff>113380</xdr:rowOff>
    </xdr:from>
    <xdr:to>
      <xdr:col>9</xdr:col>
      <xdr:colOff>467895</xdr:colOff>
      <xdr:row>30</xdr:row>
      <xdr:rowOff>66842</xdr:rowOff>
    </xdr:to>
    <xdr:cxnSp macro="">
      <xdr:nvCxnSpPr>
        <xdr:cNvPr id="27" name="Straight Arrow Connector 26">
          <a:extLst>
            <a:ext uri="{FF2B5EF4-FFF2-40B4-BE49-F238E27FC236}">
              <a16:creationId xmlns:a16="http://schemas.microsoft.com/office/drawing/2014/main" id="{06E3CB4E-0A30-E455-9601-84B709D92BED}"/>
            </a:ext>
          </a:extLst>
        </xdr:cNvPr>
        <xdr:cNvCxnSpPr/>
      </xdr:nvCxnSpPr>
      <xdr:spPr>
        <a:xfrm>
          <a:off x="8875629" y="6212722"/>
          <a:ext cx="223253" cy="10385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16710</xdr:colOff>
      <xdr:row>29</xdr:row>
      <xdr:rowOff>0</xdr:rowOff>
    </xdr:from>
    <xdr:to>
      <xdr:col>8</xdr:col>
      <xdr:colOff>242302</xdr:colOff>
      <xdr:row>29</xdr:row>
      <xdr:rowOff>79960</xdr:rowOff>
    </xdr:to>
    <xdr:cxnSp macro="">
      <xdr:nvCxnSpPr>
        <xdr:cNvPr id="29" name="Straight Arrow Connector 28">
          <a:extLst>
            <a:ext uri="{FF2B5EF4-FFF2-40B4-BE49-F238E27FC236}">
              <a16:creationId xmlns:a16="http://schemas.microsoft.com/office/drawing/2014/main" id="{49E57FB4-69B7-518C-B2E7-7BCB102137E7}"/>
            </a:ext>
          </a:extLst>
        </xdr:cNvPr>
        <xdr:cNvCxnSpPr>
          <a:stCxn id="13" idx="1"/>
        </xdr:cNvCxnSpPr>
      </xdr:nvCxnSpPr>
      <xdr:spPr>
        <a:xfrm flipH="1" flipV="1">
          <a:off x="8163092" y="6099342"/>
          <a:ext cx="225592" cy="7996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4</xdr:col>
      <xdr:colOff>687371</xdr:colOff>
      <xdr:row>142</xdr:row>
      <xdr:rowOff>78556</xdr:rowOff>
    </xdr:from>
    <xdr:to>
      <xdr:col>5</xdr:col>
      <xdr:colOff>328367</xdr:colOff>
      <xdr:row>143</xdr:row>
      <xdr:rowOff>88082</xdr:rowOff>
    </xdr:to>
    <xdr:pic>
      <xdr:nvPicPr>
        <xdr:cNvPr id="33" name="Picture 32">
          <a:extLst>
            <a:ext uri="{FF2B5EF4-FFF2-40B4-BE49-F238E27FC236}">
              <a16:creationId xmlns:a16="http://schemas.microsoft.com/office/drawing/2014/main" id="{FFECED73-96CA-6937-37A1-A998022ECBC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6039046" y="24637345"/>
          <a:ext cx="495300" cy="1568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44</xdr:row>
      <xdr:rowOff>0</xdr:rowOff>
    </xdr:from>
    <xdr:to>
      <xdr:col>23</xdr:col>
      <xdr:colOff>0</xdr:colOff>
      <xdr:row>70</xdr:row>
      <xdr:rowOff>140607</xdr:rowOff>
    </xdr:to>
    <xdr:graphicFrame macro="">
      <xdr:nvGraphicFramePr>
        <xdr:cNvPr id="3" name="Content Placeholder 4">
          <a:extLst>
            <a:ext uri="{FF2B5EF4-FFF2-40B4-BE49-F238E27FC236}">
              <a16:creationId xmlns:a16="http://schemas.microsoft.com/office/drawing/2014/main" id="{8AA217A5-C18E-4C50-A0A9-5F208A10DCA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72</xdr:row>
      <xdr:rowOff>0</xdr:rowOff>
    </xdr:from>
    <xdr:to>
      <xdr:col>23</xdr:col>
      <xdr:colOff>0</xdr:colOff>
      <xdr:row>98</xdr:row>
      <xdr:rowOff>140607</xdr:rowOff>
    </xdr:to>
    <xdr:graphicFrame macro="">
      <xdr:nvGraphicFramePr>
        <xdr:cNvPr id="6" name="Content Placeholder 4">
          <a:extLst>
            <a:ext uri="{FF2B5EF4-FFF2-40B4-BE49-F238E27FC236}">
              <a16:creationId xmlns:a16="http://schemas.microsoft.com/office/drawing/2014/main" id="{7AFE6F36-5B11-1860-B461-8936A81011E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21</xdr:col>
      <xdr:colOff>142875</xdr:colOff>
      <xdr:row>0</xdr:row>
      <xdr:rowOff>295275</xdr:rowOff>
    </xdr:from>
    <xdr:to>
      <xdr:col>29</xdr:col>
      <xdr:colOff>28575</xdr:colOff>
      <xdr:row>14</xdr:row>
      <xdr:rowOff>161925</xdr:rowOff>
    </xdr:to>
    <xdr:pic>
      <xdr:nvPicPr>
        <xdr:cNvPr id="2" name="Picture 1" descr="Renewables could represent 86% of China's power mix in 2050">
          <a:extLst>
            <a:ext uri="{FF2B5EF4-FFF2-40B4-BE49-F238E27FC236}">
              <a16:creationId xmlns:a16="http://schemas.microsoft.com/office/drawing/2014/main" id="{E5E9B293-9F99-C243-409E-A288EF2C49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06550" y="295275"/>
          <a:ext cx="4762500" cy="2924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climate.ec.europa.eu/system/files/2020-09/2020_study_main_report_e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1D059-9C49-49D7-9BAA-14EDF8883542}">
  <dimension ref="B1:AM146"/>
  <sheetViews>
    <sheetView tabSelected="1" zoomScale="97" zoomScaleNormal="100" workbookViewId="0">
      <selection activeCell="Q52" activeCellId="1" sqref="Q24:S26 Q52:S55"/>
    </sheetView>
  </sheetViews>
  <sheetFormatPr defaultRowHeight="11.25" x14ac:dyDescent="0.2"/>
  <cols>
    <col min="1" max="1" width="9.140625" style="5"/>
    <col min="2" max="2" width="31" style="5" bestFit="1" customWidth="1"/>
    <col min="3" max="3" width="24.140625" style="5" bestFit="1" customWidth="1"/>
    <col min="4" max="4" width="16" style="5" customWidth="1"/>
    <col min="5" max="5" width="12.85546875" style="5" customWidth="1"/>
    <col min="6" max="6" width="14.42578125" style="5" customWidth="1"/>
    <col min="7" max="38" width="7.28515625" style="5" customWidth="1"/>
    <col min="39" max="16384" width="9.140625" style="5"/>
  </cols>
  <sheetData>
    <row r="1" spans="2:39" ht="12" thickBot="1" x14ac:dyDescent="0.25"/>
    <row r="2" spans="2:39" x14ac:dyDescent="0.2">
      <c r="B2" s="7" t="s">
        <v>0</v>
      </c>
      <c r="C2" s="79"/>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2"/>
    </row>
    <row r="3" spans="2:39" x14ac:dyDescent="0.2">
      <c r="B3" s="9"/>
      <c r="J3" s="107">
        <v>1</v>
      </c>
      <c r="K3" s="100" t="s">
        <v>112</v>
      </c>
      <c r="L3" s="100"/>
      <c r="M3" s="100"/>
      <c r="N3" s="100"/>
      <c r="O3" s="100"/>
      <c r="P3" s="100"/>
      <c r="Q3" s="100"/>
      <c r="R3" s="100"/>
      <c r="S3" s="100"/>
      <c r="T3" s="100"/>
      <c r="AM3" s="73"/>
    </row>
    <row r="4" spans="2:39" ht="27" customHeight="1" x14ac:dyDescent="0.2">
      <c r="B4" s="10" t="s">
        <v>1</v>
      </c>
      <c r="C4" s="8" t="s">
        <v>15</v>
      </c>
      <c r="D4" s="80" t="s">
        <v>3</v>
      </c>
      <c r="E4" s="80" t="s">
        <v>2</v>
      </c>
      <c r="F4" s="80" t="s">
        <v>4</v>
      </c>
      <c r="J4" s="107">
        <v>2</v>
      </c>
      <c r="K4" s="100" t="s">
        <v>113</v>
      </c>
      <c r="L4" s="100"/>
      <c r="M4" s="100"/>
      <c r="N4" s="100"/>
      <c r="O4" s="100"/>
      <c r="P4" s="100"/>
      <c r="Q4" s="100"/>
      <c r="R4" s="100"/>
      <c r="S4" s="100"/>
      <c r="T4" s="100"/>
      <c r="AM4" s="73"/>
    </row>
    <row r="5" spans="2:39" x14ac:dyDescent="0.2">
      <c r="B5" s="9"/>
      <c r="C5" s="5" t="s">
        <v>5</v>
      </c>
      <c r="D5" s="5">
        <v>25</v>
      </c>
      <c r="E5" s="5">
        <v>25</v>
      </c>
      <c r="F5" s="5">
        <v>50</v>
      </c>
      <c r="G5" s="5" t="s">
        <v>6</v>
      </c>
      <c r="J5" s="107">
        <v>3</v>
      </c>
      <c r="K5" s="100" t="s">
        <v>103</v>
      </c>
      <c r="L5" s="100"/>
      <c r="M5" s="100"/>
      <c r="N5" s="100"/>
      <c r="O5" s="100"/>
      <c r="P5" s="100"/>
      <c r="Q5" s="100"/>
      <c r="R5" s="100"/>
      <c r="S5" s="100"/>
      <c r="T5" s="100"/>
      <c r="AM5" s="73"/>
    </row>
    <row r="6" spans="2:39" ht="12" thickBot="1" x14ac:dyDescent="0.25">
      <c r="B6" s="9"/>
      <c r="C6" s="5" t="s">
        <v>28</v>
      </c>
      <c r="D6" s="5">
        <v>100</v>
      </c>
      <c r="E6" s="5">
        <v>100</v>
      </c>
      <c r="F6" s="5">
        <v>1000</v>
      </c>
      <c r="G6" s="5" t="s">
        <v>29</v>
      </c>
      <c r="J6" s="107">
        <v>4</v>
      </c>
      <c r="K6" s="100" t="s">
        <v>104</v>
      </c>
      <c r="L6" s="100"/>
      <c r="M6" s="100"/>
      <c r="N6" s="100"/>
      <c r="O6" s="100"/>
      <c r="P6" s="100"/>
      <c r="Q6" s="100"/>
      <c r="R6" s="100"/>
      <c r="S6" s="100"/>
      <c r="T6" s="100"/>
      <c r="AM6" s="73"/>
    </row>
    <row r="7" spans="2:39" ht="12" thickBot="1" x14ac:dyDescent="0.25">
      <c r="B7" s="9"/>
      <c r="C7" s="5" t="s">
        <v>101</v>
      </c>
      <c r="D7" s="28"/>
      <c r="E7" s="5">
        <f>30%*8760</f>
        <v>2628</v>
      </c>
      <c r="F7" s="5">
        <v>8000</v>
      </c>
      <c r="G7" s="5" t="s">
        <v>102</v>
      </c>
      <c r="J7" s="107">
        <v>5</v>
      </c>
      <c r="K7" s="100" t="s">
        <v>105</v>
      </c>
      <c r="L7" s="100"/>
      <c r="M7" s="100"/>
      <c r="N7" s="100"/>
      <c r="O7" s="100"/>
      <c r="P7" s="100"/>
      <c r="Q7" s="100"/>
      <c r="R7" s="100"/>
      <c r="S7" s="100"/>
      <c r="T7" s="100"/>
      <c r="AM7" s="73"/>
    </row>
    <row r="8" spans="2:39" ht="12" thickBot="1" x14ac:dyDescent="0.25">
      <c r="B8" s="9"/>
      <c r="C8" s="5" t="s">
        <v>31</v>
      </c>
      <c r="D8" s="102"/>
      <c r="E8" s="103"/>
      <c r="F8" s="9">
        <v>1</v>
      </c>
      <c r="G8" s="5" t="s">
        <v>95</v>
      </c>
      <c r="J8" s="107">
        <v>6</v>
      </c>
      <c r="K8" s="100" t="s">
        <v>106</v>
      </c>
      <c r="L8" s="100"/>
      <c r="M8" s="100"/>
      <c r="N8" s="100"/>
      <c r="O8" s="100"/>
      <c r="P8" s="100"/>
      <c r="Q8" s="100"/>
      <c r="R8" s="100"/>
      <c r="S8" s="100"/>
      <c r="T8" s="100"/>
      <c r="AM8" s="73"/>
    </row>
    <row r="9" spans="2:39" ht="12" thickBot="1" x14ac:dyDescent="0.25">
      <c r="B9" s="9"/>
      <c r="C9" s="5" t="s">
        <v>87</v>
      </c>
      <c r="D9" s="104"/>
      <c r="E9" s="105"/>
      <c r="F9" s="106"/>
      <c r="G9" s="5" t="s">
        <v>11</v>
      </c>
      <c r="J9" s="107">
        <v>7</v>
      </c>
      <c r="K9" s="100" t="s">
        <v>107</v>
      </c>
      <c r="L9" s="100"/>
      <c r="M9" s="100"/>
      <c r="N9" s="100"/>
      <c r="O9" s="100"/>
      <c r="P9" s="100"/>
      <c r="Q9" s="100"/>
      <c r="R9" s="100"/>
      <c r="S9" s="100"/>
      <c r="T9" s="100"/>
      <c r="AM9" s="73"/>
    </row>
    <row r="10" spans="2:39" x14ac:dyDescent="0.2">
      <c r="B10" s="9"/>
      <c r="C10" s="5" t="s">
        <v>100</v>
      </c>
      <c r="D10" s="5" t="s">
        <v>27</v>
      </c>
      <c r="E10" s="5" t="s">
        <v>27</v>
      </c>
      <c r="F10" s="32">
        <v>0.33</v>
      </c>
      <c r="J10" s="107">
        <v>8</v>
      </c>
      <c r="K10" s="100" t="s">
        <v>124</v>
      </c>
      <c r="L10" s="100"/>
      <c r="M10" s="100"/>
      <c r="N10" s="100"/>
      <c r="O10" s="100"/>
      <c r="P10" s="100"/>
      <c r="Q10" s="100"/>
      <c r="R10" s="100"/>
      <c r="S10" s="100"/>
      <c r="T10" s="100"/>
      <c r="AM10" s="73"/>
    </row>
    <row r="11" spans="2:39" x14ac:dyDescent="0.2">
      <c r="B11" s="9"/>
      <c r="J11" s="108"/>
      <c r="K11" s="100"/>
      <c r="L11" s="100"/>
      <c r="M11" s="100"/>
      <c r="N11" s="100"/>
      <c r="O11" s="100"/>
      <c r="P11" s="100"/>
      <c r="Q11" s="100"/>
      <c r="R11" s="100"/>
      <c r="S11" s="100"/>
      <c r="T11" s="100"/>
      <c r="AM11" s="73"/>
    </row>
    <row r="12" spans="2:39" ht="15" x14ac:dyDescent="0.25">
      <c r="B12" s="10" t="s">
        <v>24</v>
      </c>
      <c r="C12" s="8" t="s">
        <v>15</v>
      </c>
      <c r="D12" s="8" t="s">
        <v>25</v>
      </c>
      <c r="E12" s="8" t="s">
        <v>26</v>
      </c>
      <c r="F12" s="5" t="s">
        <v>27</v>
      </c>
      <c r="J12" s="108"/>
      <c r="K12" s="100"/>
      <c r="L12" s="100"/>
      <c r="M12" s="101"/>
      <c r="N12" s="100"/>
      <c r="O12" s="100"/>
      <c r="P12" s="100"/>
      <c r="Q12" s="100"/>
      <c r="R12" s="100"/>
      <c r="S12" s="100"/>
      <c r="T12" s="100"/>
      <c r="AM12" s="73"/>
    </row>
    <row r="13" spans="2:39" x14ac:dyDescent="0.2">
      <c r="B13" s="9"/>
      <c r="C13" s="5" t="s">
        <v>23</v>
      </c>
      <c r="D13" s="5">
        <v>170</v>
      </c>
      <c r="E13" s="49">
        <v>3000000</v>
      </c>
      <c r="G13" s="5" t="s">
        <v>30</v>
      </c>
      <c r="J13" s="108"/>
      <c r="K13" s="100"/>
      <c r="L13" s="100"/>
      <c r="M13" s="100"/>
      <c r="N13" s="100"/>
      <c r="O13" s="100"/>
      <c r="P13" s="100"/>
      <c r="Q13" s="100"/>
      <c r="R13" s="100"/>
      <c r="S13" s="100"/>
      <c r="T13" s="100"/>
      <c r="AM13" s="73"/>
    </row>
    <row r="14" spans="2:39" ht="12" thickBot="1" x14ac:dyDescent="0.25">
      <c r="B14" s="9"/>
      <c r="C14" s="5" t="s">
        <v>97</v>
      </c>
      <c r="D14" s="5" t="s">
        <v>27</v>
      </c>
      <c r="E14" s="5" t="s">
        <v>27</v>
      </c>
      <c r="F14" s="5">
        <v>82</v>
      </c>
      <c r="G14" s="5" t="s">
        <v>89</v>
      </c>
      <c r="H14" s="5" t="s">
        <v>90</v>
      </c>
      <c r="J14" s="108"/>
      <c r="K14" s="100"/>
      <c r="L14" s="100"/>
      <c r="M14" s="100"/>
      <c r="N14" s="100"/>
      <c r="O14" s="100"/>
      <c r="P14" s="100"/>
      <c r="Q14" s="100"/>
      <c r="R14" s="100"/>
      <c r="S14" s="100"/>
      <c r="T14" s="100"/>
      <c r="AM14" s="73"/>
    </row>
    <row r="15" spans="2:39" ht="12" thickBot="1" x14ac:dyDescent="0.25">
      <c r="B15" s="9"/>
      <c r="C15" s="5" t="s">
        <v>97</v>
      </c>
      <c r="D15" s="5" t="s">
        <v>27</v>
      </c>
      <c r="E15" s="5" t="s">
        <v>27</v>
      </c>
      <c r="F15" s="34"/>
      <c r="G15" s="5" t="s">
        <v>92</v>
      </c>
      <c r="H15" s="5" t="s">
        <v>91</v>
      </c>
      <c r="J15" s="108"/>
      <c r="K15" s="100"/>
      <c r="L15" s="100"/>
      <c r="M15" s="100"/>
      <c r="N15" s="100"/>
      <c r="O15" s="100"/>
      <c r="P15" s="100"/>
      <c r="Q15" s="100"/>
      <c r="R15" s="100"/>
      <c r="S15" s="100"/>
      <c r="T15" s="100"/>
      <c r="AM15" s="73"/>
    </row>
    <row r="16" spans="2:39" ht="12" thickBot="1" x14ac:dyDescent="0.25">
      <c r="B16" s="9"/>
      <c r="C16" s="5" t="s">
        <v>98</v>
      </c>
      <c r="F16" s="32">
        <v>0.05</v>
      </c>
      <c r="J16" s="108"/>
      <c r="K16" s="100"/>
      <c r="L16" s="100"/>
      <c r="M16" s="100"/>
      <c r="N16" s="100"/>
      <c r="O16" s="100"/>
      <c r="P16" s="100"/>
      <c r="Q16" s="100"/>
      <c r="R16" s="100"/>
      <c r="S16" s="100"/>
      <c r="T16" s="100"/>
      <c r="AM16" s="73"/>
    </row>
    <row r="17" spans="2:39" ht="12" thickBot="1" x14ac:dyDescent="0.25">
      <c r="B17" s="9"/>
      <c r="C17" s="5" t="s">
        <v>99</v>
      </c>
      <c r="F17" s="81"/>
      <c r="G17" s="5" t="s">
        <v>92</v>
      </c>
      <c r="H17" s="5" t="s">
        <v>91</v>
      </c>
      <c r="AM17" s="73"/>
    </row>
    <row r="18" spans="2:39" ht="12" thickBot="1" x14ac:dyDescent="0.25">
      <c r="B18" s="11"/>
      <c r="C18" s="77"/>
      <c r="D18" s="77"/>
      <c r="E18" s="77"/>
      <c r="F18" s="77"/>
      <c r="G18" s="77"/>
      <c r="H18" s="77"/>
      <c r="I18" s="77"/>
      <c r="J18" s="77"/>
      <c r="K18" s="77"/>
      <c r="L18" s="77"/>
      <c r="M18" s="77"/>
      <c r="N18" s="77"/>
      <c r="O18" s="77"/>
      <c r="P18" s="77"/>
      <c r="Q18" s="77"/>
      <c r="R18" s="77"/>
      <c r="S18" s="77"/>
      <c r="T18" s="77"/>
      <c r="U18" s="77"/>
      <c r="V18" s="77"/>
      <c r="W18" s="77"/>
      <c r="X18" s="77"/>
      <c r="Y18" s="77"/>
      <c r="Z18" s="77"/>
      <c r="AA18" s="77"/>
      <c r="AB18" s="77"/>
      <c r="AC18" s="77"/>
      <c r="AD18" s="77"/>
      <c r="AE18" s="77"/>
      <c r="AF18" s="77"/>
      <c r="AG18" s="77"/>
      <c r="AH18" s="77"/>
      <c r="AI18" s="77"/>
      <c r="AJ18" s="77"/>
      <c r="AK18" s="77"/>
      <c r="AL18" s="77"/>
      <c r="AM18" s="78"/>
    </row>
    <row r="19" spans="2:39" ht="12" thickBot="1" x14ac:dyDescent="0.25"/>
    <row r="20" spans="2:39" x14ac:dyDescent="0.2">
      <c r="B20" s="2" t="s">
        <v>7</v>
      </c>
      <c r="C20" s="12"/>
      <c r="D20" s="12"/>
      <c r="E20" s="12"/>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2"/>
    </row>
    <row r="21" spans="2:39" x14ac:dyDescent="0.2">
      <c r="B21" s="3"/>
      <c r="C21" s="1"/>
      <c r="D21" s="1"/>
      <c r="E21" s="1"/>
      <c r="AM21" s="73"/>
    </row>
    <row r="22" spans="2:39" ht="126.75" x14ac:dyDescent="0.2">
      <c r="B22" s="3"/>
      <c r="C22" s="1"/>
      <c r="D22" s="1"/>
      <c r="E22" s="74" t="s">
        <v>14</v>
      </c>
      <c r="F22" s="74" t="s">
        <v>12</v>
      </c>
      <c r="G22" s="74" t="s">
        <v>13</v>
      </c>
      <c r="H22" s="14" t="s">
        <v>16</v>
      </c>
      <c r="I22" s="14" t="s">
        <v>17</v>
      </c>
      <c r="J22" s="14" t="s">
        <v>49</v>
      </c>
      <c r="K22" s="75" t="s">
        <v>53</v>
      </c>
      <c r="L22" s="75" t="s">
        <v>48</v>
      </c>
      <c r="M22" s="76" t="s">
        <v>54</v>
      </c>
      <c r="N22" s="76" t="s">
        <v>55</v>
      </c>
      <c r="O22" s="76" t="s">
        <v>56</v>
      </c>
      <c r="P22" s="13" t="s">
        <v>18</v>
      </c>
      <c r="Q22" s="13" t="s">
        <v>19</v>
      </c>
      <c r="R22" s="13" t="s">
        <v>20</v>
      </c>
      <c r="S22" s="13" t="s">
        <v>21</v>
      </c>
      <c r="T22" s="13" t="s">
        <v>50</v>
      </c>
      <c r="U22" s="13" t="s">
        <v>32</v>
      </c>
      <c r="V22" s="13" t="s">
        <v>33</v>
      </c>
      <c r="W22" s="13" t="s">
        <v>34</v>
      </c>
      <c r="X22" s="13" t="s">
        <v>35</v>
      </c>
      <c r="Y22" s="13" t="s">
        <v>36</v>
      </c>
      <c r="Z22" s="13" t="s">
        <v>37</v>
      </c>
      <c r="AA22" s="13" t="s">
        <v>38</v>
      </c>
      <c r="AB22" s="13" t="s">
        <v>39</v>
      </c>
      <c r="AC22" s="13" t="s">
        <v>40</v>
      </c>
      <c r="AD22" s="13" t="s">
        <v>41</v>
      </c>
      <c r="AE22" s="13" t="s">
        <v>42</v>
      </c>
      <c r="AF22" s="13" t="s">
        <v>93</v>
      </c>
      <c r="AG22" s="13" t="s">
        <v>44</v>
      </c>
      <c r="AH22" s="13" t="s">
        <v>45</v>
      </c>
      <c r="AI22" s="13" t="s">
        <v>46</v>
      </c>
      <c r="AJ22" s="13" t="s">
        <v>47</v>
      </c>
      <c r="AK22" s="13" t="s">
        <v>96</v>
      </c>
      <c r="AL22" s="13" t="s">
        <v>51</v>
      </c>
      <c r="AM22" s="73"/>
    </row>
    <row r="23" spans="2:39" ht="22.5" thickBot="1" x14ac:dyDescent="0.25">
      <c r="B23" s="4" t="s">
        <v>8</v>
      </c>
      <c r="C23" s="6" t="s">
        <v>9</v>
      </c>
      <c r="D23" s="6" t="s">
        <v>10</v>
      </c>
      <c r="E23" s="74" t="s">
        <v>11</v>
      </c>
      <c r="F23" s="74" t="s">
        <v>11</v>
      </c>
      <c r="G23" s="74" t="s">
        <v>11</v>
      </c>
      <c r="H23" s="14" t="s">
        <v>10</v>
      </c>
      <c r="I23" s="14" t="s">
        <v>22</v>
      </c>
      <c r="J23" s="14" t="s">
        <v>22</v>
      </c>
      <c r="K23" s="75" t="s">
        <v>10</v>
      </c>
      <c r="L23" s="75" t="s">
        <v>10</v>
      </c>
      <c r="M23" s="76" t="s">
        <v>10</v>
      </c>
      <c r="N23" s="76" t="s">
        <v>43</v>
      </c>
      <c r="O23" s="76" t="s">
        <v>43</v>
      </c>
      <c r="P23" s="13" t="s">
        <v>10</v>
      </c>
      <c r="Q23" s="13" t="s">
        <v>11</v>
      </c>
      <c r="R23" s="13" t="s">
        <v>11</v>
      </c>
      <c r="S23" s="13" t="s">
        <v>11</v>
      </c>
      <c r="T23" s="13" t="s">
        <v>43</v>
      </c>
      <c r="U23" s="13" t="s">
        <v>43</v>
      </c>
      <c r="V23" s="13" t="s">
        <v>43</v>
      </c>
      <c r="W23" s="13" t="s">
        <v>43</v>
      </c>
      <c r="X23" s="13" t="s">
        <v>43</v>
      </c>
      <c r="Y23" s="13" t="s">
        <v>43</v>
      </c>
      <c r="Z23" s="13" t="s">
        <v>43</v>
      </c>
      <c r="AA23" s="13" t="s">
        <v>43</v>
      </c>
      <c r="AB23" s="13" t="s">
        <v>43</v>
      </c>
      <c r="AC23" s="13" t="s">
        <v>43</v>
      </c>
      <c r="AD23" s="13" t="s">
        <v>43</v>
      </c>
      <c r="AE23" s="13" t="s">
        <v>43</v>
      </c>
      <c r="AF23" s="13" t="s">
        <v>94</v>
      </c>
      <c r="AG23" s="13" t="s">
        <v>11</v>
      </c>
      <c r="AH23" s="13" t="s">
        <v>11</v>
      </c>
      <c r="AI23" s="13" t="s">
        <v>11</v>
      </c>
      <c r="AJ23" s="13" t="s">
        <v>11</v>
      </c>
      <c r="AK23" s="13" t="s">
        <v>52</v>
      </c>
      <c r="AL23" s="13" t="s">
        <v>52</v>
      </c>
      <c r="AM23" s="73"/>
    </row>
    <row r="24" spans="2:39" x14ac:dyDescent="0.2">
      <c r="B24" s="9"/>
      <c r="C24" s="8" t="s">
        <v>14</v>
      </c>
      <c r="D24" s="8" t="s">
        <v>11</v>
      </c>
      <c r="E24" s="17"/>
      <c r="F24" s="18"/>
      <c r="G24" s="19"/>
      <c r="H24" s="18"/>
      <c r="I24" s="18"/>
      <c r="J24" s="18"/>
      <c r="K24" s="18"/>
      <c r="L24" s="18"/>
      <c r="M24" s="18"/>
      <c r="N24" s="18"/>
      <c r="O24" s="18"/>
      <c r="P24" s="18"/>
      <c r="Q24" s="83"/>
      <c r="R24" s="84"/>
      <c r="S24" s="85"/>
      <c r="T24" s="18"/>
      <c r="U24" s="18"/>
      <c r="V24" s="18"/>
      <c r="W24" s="18"/>
      <c r="X24" s="18"/>
      <c r="Y24" s="18"/>
      <c r="Z24" s="18"/>
      <c r="AA24" s="18"/>
      <c r="AB24" s="18"/>
      <c r="AC24" s="18"/>
      <c r="AD24" s="18"/>
      <c r="AE24" s="18"/>
      <c r="AF24" s="18"/>
      <c r="AG24" s="18"/>
      <c r="AH24" s="18"/>
      <c r="AI24" s="18"/>
      <c r="AJ24" s="18"/>
      <c r="AK24" s="18"/>
      <c r="AL24" s="19"/>
      <c r="AM24" s="73"/>
    </row>
    <row r="25" spans="2:39" x14ac:dyDescent="0.2">
      <c r="B25" s="9"/>
      <c r="C25" s="8" t="s">
        <v>12</v>
      </c>
      <c r="D25" s="8" t="s">
        <v>11</v>
      </c>
      <c r="E25" s="20"/>
      <c r="G25" s="21"/>
      <c r="Q25" s="86"/>
      <c r="R25" s="70"/>
      <c r="S25" s="87"/>
      <c r="AL25" s="21"/>
      <c r="AM25" s="73"/>
    </row>
    <row r="26" spans="2:39" ht="12" thickBot="1" x14ac:dyDescent="0.25">
      <c r="B26" s="9"/>
      <c r="C26" s="8" t="s">
        <v>13</v>
      </c>
      <c r="D26" s="8" t="s">
        <v>11</v>
      </c>
      <c r="E26" s="20"/>
      <c r="G26" s="21"/>
      <c r="Q26" s="88"/>
      <c r="R26" s="89"/>
      <c r="S26" s="90"/>
      <c r="AL26" s="21"/>
      <c r="AM26" s="73"/>
    </row>
    <row r="27" spans="2:39" ht="12" thickBot="1" x14ac:dyDescent="0.25">
      <c r="B27" s="9"/>
      <c r="C27" s="16" t="s">
        <v>16</v>
      </c>
      <c r="D27" s="16" t="s">
        <v>10</v>
      </c>
      <c r="E27" s="171"/>
      <c r="G27" s="21"/>
      <c r="H27" s="16"/>
      <c r="I27" s="16"/>
      <c r="J27" s="16"/>
      <c r="AL27" s="21"/>
      <c r="AM27" s="73"/>
    </row>
    <row r="28" spans="2:39" x14ac:dyDescent="0.2">
      <c r="B28" s="9"/>
      <c r="C28" s="16" t="s">
        <v>17</v>
      </c>
      <c r="D28" s="16" t="s">
        <v>22</v>
      </c>
      <c r="E28" s="20"/>
      <c r="H28" s="47"/>
      <c r="I28" s="16"/>
      <c r="J28" s="16"/>
      <c r="AL28" s="21"/>
      <c r="AM28" s="73"/>
    </row>
    <row r="29" spans="2:39" ht="12" thickBot="1" x14ac:dyDescent="0.25">
      <c r="B29" s="9"/>
      <c r="C29" s="16" t="s">
        <v>49</v>
      </c>
      <c r="D29" s="16" t="s">
        <v>22</v>
      </c>
      <c r="E29" s="20"/>
      <c r="H29" s="48"/>
      <c r="I29" s="16"/>
      <c r="J29" s="16"/>
      <c r="AL29" s="21"/>
      <c r="AM29" s="73"/>
    </row>
    <row r="30" spans="2:39" ht="12" thickBot="1" x14ac:dyDescent="0.25">
      <c r="B30" s="9"/>
      <c r="C30" s="25" t="s">
        <v>53</v>
      </c>
      <c r="D30" s="25" t="s">
        <v>10</v>
      </c>
      <c r="E30" s="20"/>
      <c r="F30" s="171"/>
      <c r="G30" s="21"/>
      <c r="K30" s="25"/>
      <c r="L30" s="25"/>
      <c r="AL30" s="21"/>
      <c r="AM30" s="73"/>
    </row>
    <row r="31" spans="2:39" ht="12" thickBot="1" x14ac:dyDescent="0.25">
      <c r="B31" s="9"/>
      <c r="C31" s="25" t="s">
        <v>48</v>
      </c>
      <c r="D31" s="25" t="s">
        <v>10</v>
      </c>
      <c r="E31" s="20"/>
      <c r="G31" s="21"/>
      <c r="K31" s="82"/>
      <c r="L31" s="25"/>
      <c r="AL31" s="21"/>
      <c r="AM31" s="73"/>
    </row>
    <row r="32" spans="2:39" x14ac:dyDescent="0.2">
      <c r="B32" s="9"/>
      <c r="C32" s="15" t="s">
        <v>54</v>
      </c>
      <c r="D32" s="15" t="s">
        <v>10</v>
      </c>
      <c r="E32" s="20"/>
      <c r="G32" s="172"/>
      <c r="M32" s="15"/>
      <c r="N32" s="15"/>
      <c r="O32" s="15"/>
      <c r="AL32" s="21"/>
      <c r="AM32" s="73"/>
    </row>
    <row r="33" spans="2:39" ht="12" thickBot="1" x14ac:dyDescent="0.25">
      <c r="B33" s="9"/>
      <c r="C33" s="15" t="s">
        <v>55</v>
      </c>
      <c r="D33" s="15" t="s">
        <v>43</v>
      </c>
      <c r="E33" s="20"/>
      <c r="G33" s="35"/>
      <c r="M33" s="15"/>
      <c r="N33" s="15"/>
      <c r="O33" s="15"/>
      <c r="AL33" s="21"/>
      <c r="AM33" s="73"/>
    </row>
    <row r="34" spans="2:39" x14ac:dyDescent="0.2">
      <c r="B34" s="9"/>
      <c r="C34" s="15" t="s">
        <v>56</v>
      </c>
      <c r="D34" s="15" t="s">
        <v>43</v>
      </c>
      <c r="E34" s="20"/>
      <c r="G34" s="21"/>
      <c r="M34" s="15"/>
      <c r="N34" s="15">
        <v>10</v>
      </c>
      <c r="O34" s="15"/>
      <c r="AL34" s="21"/>
      <c r="AM34" s="73"/>
    </row>
    <row r="35" spans="2:39" x14ac:dyDescent="0.2">
      <c r="B35" s="9"/>
      <c r="C35" s="5" t="s">
        <v>18</v>
      </c>
      <c r="D35" s="5" t="s">
        <v>10</v>
      </c>
      <c r="E35" s="20"/>
      <c r="G35" s="21"/>
      <c r="H35" s="5">
        <v>500</v>
      </c>
      <c r="AL35" s="21"/>
      <c r="AM35" s="73"/>
    </row>
    <row r="36" spans="2:39" x14ac:dyDescent="0.2">
      <c r="B36" s="9"/>
      <c r="C36" s="5" t="s">
        <v>19</v>
      </c>
      <c r="D36" s="5" t="s">
        <v>11</v>
      </c>
      <c r="E36" s="20"/>
      <c r="G36" s="21"/>
      <c r="M36" s="5">
        <v>530500000</v>
      </c>
      <c r="AL36" s="21"/>
      <c r="AM36" s="73"/>
    </row>
    <row r="37" spans="2:39" x14ac:dyDescent="0.2">
      <c r="B37" s="9"/>
      <c r="C37" s="5" t="s">
        <v>20</v>
      </c>
      <c r="D37" s="5" t="s">
        <v>11</v>
      </c>
      <c r="E37" s="20"/>
      <c r="G37" s="21"/>
      <c r="L37" s="5">
        <v>445000</v>
      </c>
      <c r="P37" s="5">
        <v>15000</v>
      </c>
      <c r="AL37" s="21"/>
      <c r="AM37" s="73"/>
    </row>
    <row r="38" spans="2:39" x14ac:dyDescent="0.2">
      <c r="B38" s="9"/>
      <c r="C38" s="5" t="s">
        <v>21</v>
      </c>
      <c r="D38" s="5" t="s">
        <v>11</v>
      </c>
      <c r="E38" s="20"/>
      <c r="G38" s="21"/>
      <c r="I38" s="5">
        <f>4.7+25</f>
        <v>29.7</v>
      </c>
      <c r="T38" s="5">
        <v>75</v>
      </c>
      <c r="AL38" s="21"/>
      <c r="AM38" s="73"/>
    </row>
    <row r="39" spans="2:39" x14ac:dyDescent="0.2">
      <c r="B39" s="9"/>
      <c r="C39" s="5" t="s">
        <v>50</v>
      </c>
      <c r="D39" s="5" t="s">
        <v>43</v>
      </c>
      <c r="E39" s="20"/>
      <c r="G39" s="21"/>
      <c r="I39" s="5">
        <v>1.1000000000000001</v>
      </c>
      <c r="AL39" s="21"/>
      <c r="AM39" s="73"/>
    </row>
    <row r="40" spans="2:39" x14ac:dyDescent="0.2">
      <c r="B40" s="9"/>
      <c r="C40" s="5" t="s">
        <v>32</v>
      </c>
      <c r="D40" s="5" t="s">
        <v>43</v>
      </c>
      <c r="E40" s="20"/>
      <c r="G40" s="21"/>
      <c r="J40" s="5">
        <v>7</v>
      </c>
      <c r="L40" s="5">
        <v>650000</v>
      </c>
      <c r="M40" s="5">
        <f>33700000+21900000+5570000</f>
        <v>61170000</v>
      </c>
      <c r="P40" s="5">
        <v>5000</v>
      </c>
      <c r="AL40" s="21"/>
      <c r="AM40" s="73"/>
    </row>
    <row r="41" spans="2:39" x14ac:dyDescent="0.2">
      <c r="B41" s="9"/>
      <c r="C41" s="5" t="s">
        <v>33</v>
      </c>
      <c r="D41" s="5" t="s">
        <v>43</v>
      </c>
      <c r="E41" s="20"/>
      <c r="G41" s="21"/>
      <c r="L41" s="5">
        <v>100000</v>
      </c>
      <c r="AL41" s="21"/>
      <c r="AM41" s="73"/>
    </row>
    <row r="42" spans="2:39" x14ac:dyDescent="0.2">
      <c r="B42" s="9"/>
      <c r="C42" s="5" t="s">
        <v>34</v>
      </c>
      <c r="D42" s="5" t="s">
        <v>43</v>
      </c>
      <c r="E42" s="20"/>
      <c r="G42" s="21"/>
      <c r="I42" s="39">
        <v>2.63</v>
      </c>
      <c r="J42" s="5">
        <v>4</v>
      </c>
      <c r="L42" s="5">
        <v>1000</v>
      </c>
      <c r="M42" s="5">
        <v>200000</v>
      </c>
      <c r="P42" s="5">
        <v>400</v>
      </c>
      <c r="AL42" s="21"/>
      <c r="AM42" s="73"/>
    </row>
    <row r="43" spans="2:39" x14ac:dyDescent="0.2">
      <c r="B43" s="9"/>
      <c r="C43" s="5" t="s">
        <v>35</v>
      </c>
      <c r="D43" s="5" t="s">
        <v>43</v>
      </c>
      <c r="E43" s="20"/>
      <c r="G43" s="21"/>
      <c r="I43" s="5">
        <v>10</v>
      </c>
      <c r="AL43" s="21"/>
      <c r="AM43" s="73"/>
    </row>
    <row r="44" spans="2:39" x14ac:dyDescent="0.2">
      <c r="B44" s="9"/>
      <c r="C44" s="5" t="s">
        <v>36</v>
      </c>
      <c r="D44" s="5" t="s">
        <v>43</v>
      </c>
      <c r="E44" s="20"/>
      <c r="G44" s="21"/>
      <c r="AL44" s="21"/>
      <c r="AM44" s="73"/>
    </row>
    <row r="45" spans="2:39" x14ac:dyDescent="0.2">
      <c r="B45" s="9"/>
      <c r="C45" s="5" t="s">
        <v>37</v>
      </c>
      <c r="D45" s="5" t="s">
        <v>43</v>
      </c>
      <c r="E45" s="20"/>
      <c r="G45" s="21"/>
      <c r="L45" s="5">
        <v>50000</v>
      </c>
      <c r="AL45" s="21"/>
      <c r="AM45" s="73"/>
    </row>
    <row r="46" spans="2:39" x14ac:dyDescent="0.2">
      <c r="B46" s="9"/>
      <c r="C46" s="5" t="s">
        <v>38</v>
      </c>
      <c r="D46" s="5" t="s">
        <v>43</v>
      </c>
      <c r="E46" s="20"/>
      <c r="G46" s="21"/>
      <c r="L46" s="5">
        <v>600</v>
      </c>
      <c r="AL46" s="21"/>
      <c r="AM46" s="73"/>
    </row>
    <row r="47" spans="2:39" x14ac:dyDescent="0.2">
      <c r="B47" s="9"/>
      <c r="C47" s="5" t="s">
        <v>39</v>
      </c>
      <c r="D47" s="5" t="s">
        <v>43</v>
      </c>
      <c r="E47" s="20"/>
      <c r="G47" s="21"/>
      <c r="M47" s="49">
        <v>200000</v>
      </c>
      <c r="AL47" s="21"/>
      <c r="AM47" s="73"/>
    </row>
    <row r="48" spans="2:39" x14ac:dyDescent="0.2">
      <c r="B48" s="9"/>
      <c r="C48" s="5" t="s">
        <v>40</v>
      </c>
      <c r="D48" s="5" t="s">
        <v>43</v>
      </c>
      <c r="E48" s="20"/>
      <c r="G48" s="21"/>
      <c r="L48" s="5">
        <v>40000</v>
      </c>
      <c r="M48" s="5">
        <v>1470000</v>
      </c>
      <c r="P48" s="5">
        <v>1000</v>
      </c>
      <c r="AL48" s="21"/>
      <c r="AM48" s="73"/>
    </row>
    <row r="49" spans="2:39" x14ac:dyDescent="0.2">
      <c r="B49" s="9"/>
      <c r="C49" s="5" t="s">
        <v>41</v>
      </c>
      <c r="D49" s="5" t="s">
        <v>43</v>
      </c>
      <c r="E49" s="20"/>
      <c r="G49" s="21"/>
      <c r="P49" s="5">
        <v>200</v>
      </c>
      <c r="AL49" s="21"/>
      <c r="AM49" s="73"/>
    </row>
    <row r="50" spans="2:39" x14ac:dyDescent="0.2">
      <c r="B50" s="9"/>
      <c r="C50" s="5" t="s">
        <v>42</v>
      </c>
      <c r="D50" s="5" t="s">
        <v>43</v>
      </c>
      <c r="E50" s="20"/>
      <c r="G50" s="21"/>
      <c r="L50" s="5">
        <v>500</v>
      </c>
      <c r="AL50" s="21"/>
      <c r="AM50" s="73"/>
    </row>
    <row r="51" spans="2:39" ht="12" thickBot="1" x14ac:dyDescent="0.25">
      <c r="B51" s="9"/>
      <c r="C51" s="5" t="s">
        <v>93</v>
      </c>
      <c r="D51" s="5" t="s">
        <v>94</v>
      </c>
      <c r="E51" s="20"/>
      <c r="G51" s="21"/>
      <c r="L51" s="5">
        <v>3000</v>
      </c>
      <c r="M51" s="5">
        <v>169000</v>
      </c>
      <c r="AL51" s="21"/>
      <c r="AM51" s="73"/>
    </row>
    <row r="52" spans="2:39" x14ac:dyDescent="0.2">
      <c r="B52" s="9"/>
      <c r="C52" s="5" t="s">
        <v>44</v>
      </c>
      <c r="D52" s="5" t="s">
        <v>11</v>
      </c>
      <c r="E52" s="20"/>
      <c r="G52" s="21"/>
      <c r="Q52" s="92"/>
      <c r="R52" s="93"/>
      <c r="S52" s="94"/>
      <c r="AL52" s="21"/>
      <c r="AM52" s="73"/>
    </row>
    <row r="53" spans="2:39" x14ac:dyDescent="0.2">
      <c r="B53" s="9"/>
      <c r="C53" s="5" t="s">
        <v>45</v>
      </c>
      <c r="D53" s="5" t="s">
        <v>11</v>
      </c>
      <c r="E53" s="20"/>
      <c r="G53" s="21"/>
      <c r="Q53" s="95"/>
      <c r="R53" s="91"/>
      <c r="S53" s="96"/>
      <c r="AL53" s="21"/>
      <c r="AM53" s="73"/>
    </row>
    <row r="54" spans="2:39" x14ac:dyDescent="0.2">
      <c r="B54" s="9"/>
      <c r="C54" s="5" t="s">
        <v>46</v>
      </c>
      <c r="D54" s="5" t="s">
        <v>11</v>
      </c>
      <c r="E54" s="20"/>
      <c r="G54" s="21"/>
      <c r="Q54" s="95"/>
      <c r="R54" s="91"/>
      <c r="S54" s="96"/>
      <c r="AL54" s="21"/>
      <c r="AM54" s="73"/>
    </row>
    <row r="55" spans="2:39" ht="12" thickBot="1" x14ac:dyDescent="0.25">
      <c r="B55" s="9"/>
      <c r="C55" s="5" t="s">
        <v>47</v>
      </c>
      <c r="D55" s="5" t="s">
        <v>11</v>
      </c>
      <c r="E55" s="20"/>
      <c r="G55" s="21"/>
      <c r="Q55" s="97"/>
      <c r="R55" s="98"/>
      <c r="S55" s="99"/>
      <c r="AL55" s="21"/>
      <c r="AM55" s="73"/>
    </row>
    <row r="56" spans="2:39" x14ac:dyDescent="0.2">
      <c r="B56" s="9"/>
      <c r="C56" s="5" t="s">
        <v>96</v>
      </c>
      <c r="D56" s="5" t="s">
        <v>52</v>
      </c>
      <c r="E56" s="20"/>
      <c r="G56" s="21"/>
      <c r="L56" s="5">
        <v>80</v>
      </c>
      <c r="M56" s="5">
        <v>449400000</v>
      </c>
      <c r="Q56" s="33"/>
      <c r="R56" s="33"/>
      <c r="S56" s="33"/>
      <c r="AL56" s="21"/>
      <c r="AM56" s="73"/>
    </row>
    <row r="57" spans="2:39" x14ac:dyDescent="0.2">
      <c r="B57" s="9"/>
      <c r="C57" s="5" t="s">
        <v>51</v>
      </c>
      <c r="D57" s="5" t="s">
        <v>52</v>
      </c>
      <c r="E57" s="22"/>
      <c r="F57" s="23"/>
      <c r="G57" s="24"/>
      <c r="H57" s="23"/>
      <c r="I57" s="23">
        <v>4.9000000000000004</v>
      </c>
      <c r="J57" s="23"/>
      <c r="K57" s="23"/>
      <c r="L57" s="23"/>
      <c r="M57" s="23">
        <v>140580000</v>
      </c>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4"/>
      <c r="AM57" s="73"/>
    </row>
    <row r="58" spans="2:39" x14ac:dyDescent="0.2">
      <c r="B58" s="9"/>
      <c r="AM58" s="73"/>
    </row>
    <row r="59" spans="2:39" x14ac:dyDescent="0.2">
      <c r="B59" s="9"/>
      <c r="AM59" s="73"/>
    </row>
    <row r="60" spans="2:39" x14ac:dyDescent="0.2">
      <c r="B60" s="10" t="s">
        <v>57</v>
      </c>
      <c r="C60" s="6" t="s">
        <v>58</v>
      </c>
      <c r="D60" s="6" t="s">
        <v>10</v>
      </c>
      <c r="AM60" s="73"/>
    </row>
    <row r="61" spans="2:39" x14ac:dyDescent="0.2">
      <c r="B61" s="9"/>
      <c r="C61" s="1" t="s">
        <v>59</v>
      </c>
      <c r="D61" s="1" t="s">
        <v>43</v>
      </c>
      <c r="E61" s="61">
        <v>0</v>
      </c>
      <c r="F61" s="59">
        <v>0</v>
      </c>
      <c r="G61" s="62">
        <v>0</v>
      </c>
      <c r="H61" s="59">
        <v>0</v>
      </c>
      <c r="I61" s="59">
        <v>0</v>
      </c>
      <c r="J61" s="59">
        <v>0</v>
      </c>
      <c r="K61" s="59">
        <v>0</v>
      </c>
      <c r="L61" s="59">
        <v>0</v>
      </c>
      <c r="M61" s="59">
        <v>0</v>
      </c>
      <c r="N61" s="59">
        <v>1300</v>
      </c>
      <c r="O61" s="59">
        <v>25</v>
      </c>
      <c r="P61" s="59">
        <v>0</v>
      </c>
      <c r="Q61" s="59">
        <v>0</v>
      </c>
      <c r="R61" s="59">
        <v>0</v>
      </c>
      <c r="S61" s="59">
        <v>0</v>
      </c>
      <c r="T61" s="59">
        <v>3.58</v>
      </c>
      <c r="U61" s="59">
        <v>2.4700000000000002</v>
      </c>
      <c r="V61" s="59">
        <v>1.6</v>
      </c>
      <c r="W61" s="59">
        <v>12.05</v>
      </c>
      <c r="X61" s="59">
        <v>1.1299999999999999</v>
      </c>
      <c r="Y61" s="59">
        <v>5.68</v>
      </c>
      <c r="Z61" s="59">
        <v>3.61</v>
      </c>
      <c r="AA61" s="59">
        <v>3.3</v>
      </c>
      <c r="AB61" s="59">
        <v>4.2</v>
      </c>
      <c r="AC61" s="59">
        <v>3.61</v>
      </c>
      <c r="AD61" s="59">
        <v>7.67</v>
      </c>
      <c r="AE61" s="59">
        <v>36.630000000000003</v>
      </c>
      <c r="AF61" s="59">
        <v>300</v>
      </c>
      <c r="AG61" s="59">
        <v>8.0000000000000002E-3</v>
      </c>
      <c r="AH61" s="59">
        <v>1.05</v>
      </c>
      <c r="AI61" s="59">
        <v>0.45</v>
      </c>
      <c r="AJ61" s="59">
        <v>0.37</v>
      </c>
      <c r="AK61" s="59">
        <v>0.1</v>
      </c>
      <c r="AL61" s="19">
        <v>0.08</v>
      </c>
      <c r="AM61" s="73"/>
    </row>
    <row r="62" spans="2:39" x14ac:dyDescent="0.2">
      <c r="B62" s="9"/>
      <c r="C62" s="1" t="s">
        <v>60</v>
      </c>
      <c r="D62" s="1" t="s">
        <v>43</v>
      </c>
      <c r="E62" s="63">
        <v>0</v>
      </c>
      <c r="F62" s="1">
        <v>0</v>
      </c>
      <c r="G62" s="64">
        <v>0</v>
      </c>
      <c r="H62" s="1">
        <v>0</v>
      </c>
      <c r="I62" s="1">
        <v>0</v>
      </c>
      <c r="J62" s="1">
        <v>0</v>
      </c>
      <c r="K62" s="1">
        <v>0</v>
      </c>
      <c r="L62" s="1">
        <v>0</v>
      </c>
      <c r="M62" s="1">
        <v>0</v>
      </c>
      <c r="N62" s="1">
        <v>0</v>
      </c>
      <c r="O62" s="1">
        <v>0</v>
      </c>
      <c r="P62" s="1">
        <v>0</v>
      </c>
      <c r="Q62" s="1">
        <v>0</v>
      </c>
      <c r="R62" s="1">
        <v>0</v>
      </c>
      <c r="S62" s="1">
        <v>0</v>
      </c>
      <c r="T62" s="1">
        <v>0</v>
      </c>
      <c r="U62" s="1">
        <v>0</v>
      </c>
      <c r="V62" s="1">
        <v>0</v>
      </c>
      <c r="W62" s="1">
        <v>0</v>
      </c>
      <c r="X62" s="1">
        <v>0</v>
      </c>
      <c r="Y62" s="1">
        <v>0</v>
      </c>
      <c r="Z62" s="1">
        <v>0</v>
      </c>
      <c r="AA62" s="1">
        <v>0</v>
      </c>
      <c r="AB62" s="1">
        <v>0</v>
      </c>
      <c r="AC62" s="1">
        <v>0</v>
      </c>
      <c r="AD62" s="1">
        <v>0</v>
      </c>
      <c r="AE62" s="1">
        <v>0</v>
      </c>
      <c r="AF62" s="1">
        <v>0</v>
      </c>
      <c r="AG62" s="1">
        <v>0</v>
      </c>
      <c r="AH62" s="1">
        <v>0</v>
      </c>
      <c r="AI62" s="1">
        <v>0</v>
      </c>
      <c r="AJ62" s="1">
        <v>0.04</v>
      </c>
      <c r="AK62" s="1">
        <v>0</v>
      </c>
      <c r="AL62" s="21">
        <v>2.0000000000000001E-4</v>
      </c>
      <c r="AM62" s="73"/>
    </row>
    <row r="63" spans="2:39" x14ac:dyDescent="0.2">
      <c r="B63" s="9"/>
      <c r="C63" s="1" t="s">
        <v>61</v>
      </c>
      <c r="D63" s="1" t="s">
        <v>52</v>
      </c>
      <c r="E63" s="63">
        <v>0</v>
      </c>
      <c r="F63" s="1">
        <v>0</v>
      </c>
      <c r="G63" s="64">
        <v>0</v>
      </c>
      <c r="H63" s="1">
        <v>0</v>
      </c>
      <c r="I63" s="1">
        <v>0</v>
      </c>
      <c r="J63" s="1">
        <v>0</v>
      </c>
      <c r="K63" s="1">
        <v>0</v>
      </c>
      <c r="L63" s="1">
        <v>0</v>
      </c>
      <c r="M63" s="1">
        <v>0</v>
      </c>
      <c r="N63" s="109">
        <v>300000</v>
      </c>
      <c r="O63" s="1">
        <v>600000</v>
      </c>
      <c r="P63" s="1">
        <v>0</v>
      </c>
      <c r="Q63" s="1">
        <v>0</v>
      </c>
      <c r="R63" s="1">
        <v>0</v>
      </c>
      <c r="S63" s="1">
        <v>0</v>
      </c>
      <c r="T63" s="1">
        <v>0</v>
      </c>
      <c r="U63" s="1">
        <v>32.04</v>
      </c>
      <c r="V63" s="1">
        <v>12.6</v>
      </c>
      <c r="W63" s="1">
        <v>191.52</v>
      </c>
      <c r="X63" s="1">
        <v>11.879999999999999</v>
      </c>
      <c r="Y63" s="1">
        <v>100.8</v>
      </c>
      <c r="Z63" s="1">
        <v>30.96</v>
      </c>
      <c r="AA63" s="1">
        <v>35.64</v>
      </c>
      <c r="AB63" s="1">
        <v>47.88</v>
      </c>
      <c r="AC63" s="1">
        <v>42.84</v>
      </c>
      <c r="AD63" s="1">
        <v>109.08</v>
      </c>
      <c r="AE63" s="1">
        <v>480.24</v>
      </c>
      <c r="AF63" s="1">
        <v>2100</v>
      </c>
      <c r="AG63" s="1">
        <v>0.3</v>
      </c>
      <c r="AH63" s="1">
        <v>11</v>
      </c>
      <c r="AI63" s="1">
        <v>13</v>
      </c>
      <c r="AJ63" s="1">
        <v>9</v>
      </c>
      <c r="AK63" s="1">
        <v>1.31</v>
      </c>
      <c r="AL63" s="21">
        <v>1.31</v>
      </c>
      <c r="AM63" s="73"/>
    </row>
    <row r="64" spans="2:39" x14ac:dyDescent="0.2">
      <c r="B64" s="9"/>
      <c r="C64" s="1" t="s">
        <v>62</v>
      </c>
      <c r="D64" s="1" t="s">
        <v>43</v>
      </c>
      <c r="E64" s="65">
        <v>0</v>
      </c>
      <c r="F64" s="66">
        <v>0</v>
      </c>
      <c r="G64" s="67">
        <v>0</v>
      </c>
      <c r="H64" s="66">
        <v>0</v>
      </c>
      <c r="I64" s="66">
        <v>0</v>
      </c>
      <c r="J64" s="66">
        <v>0</v>
      </c>
      <c r="K64" s="66">
        <v>0</v>
      </c>
      <c r="L64" s="66">
        <v>0</v>
      </c>
      <c r="M64" s="66">
        <v>0</v>
      </c>
      <c r="N64" s="66">
        <v>0</v>
      </c>
      <c r="O64" s="66">
        <v>0</v>
      </c>
      <c r="P64" s="66">
        <v>0</v>
      </c>
      <c r="Q64" s="66">
        <v>0</v>
      </c>
      <c r="R64" s="66">
        <v>0</v>
      </c>
      <c r="S64" s="66">
        <v>0</v>
      </c>
      <c r="T64" s="66">
        <v>0</v>
      </c>
      <c r="U64" s="66">
        <v>0</v>
      </c>
      <c r="V64" s="66">
        <v>0</v>
      </c>
      <c r="W64" s="66">
        <v>0</v>
      </c>
      <c r="X64" s="66">
        <v>0</v>
      </c>
      <c r="Y64" s="66">
        <v>0</v>
      </c>
      <c r="Z64" s="66">
        <v>0</v>
      </c>
      <c r="AA64" s="66">
        <v>0</v>
      </c>
      <c r="AB64" s="66">
        <v>0</v>
      </c>
      <c r="AC64" s="66">
        <v>0</v>
      </c>
      <c r="AD64" s="66">
        <v>0</v>
      </c>
      <c r="AE64" s="66">
        <v>0</v>
      </c>
      <c r="AF64" s="66">
        <v>0</v>
      </c>
      <c r="AG64" s="66">
        <v>0</v>
      </c>
      <c r="AH64" s="66">
        <v>0</v>
      </c>
      <c r="AI64" s="66">
        <v>0</v>
      </c>
      <c r="AJ64" s="66">
        <v>0</v>
      </c>
      <c r="AK64" s="66">
        <v>0</v>
      </c>
      <c r="AL64" s="21">
        <v>0</v>
      </c>
      <c r="AM64" s="73"/>
    </row>
    <row r="65" spans="2:39" x14ac:dyDescent="0.2">
      <c r="B65" s="9"/>
      <c r="C65" s="1" t="s">
        <v>63</v>
      </c>
      <c r="D65" s="1" t="s">
        <v>43</v>
      </c>
      <c r="E65" s="65">
        <v>0</v>
      </c>
      <c r="F65" s="66">
        <v>0</v>
      </c>
      <c r="G65" s="67">
        <v>0</v>
      </c>
      <c r="H65" s="66">
        <v>0</v>
      </c>
      <c r="I65" s="66">
        <v>0</v>
      </c>
      <c r="J65" s="66">
        <v>0</v>
      </c>
      <c r="K65" s="66">
        <v>0</v>
      </c>
      <c r="L65" s="66">
        <v>0</v>
      </c>
      <c r="M65" s="66">
        <v>0</v>
      </c>
      <c r="N65" s="66">
        <v>0</v>
      </c>
      <c r="O65" s="66">
        <v>0</v>
      </c>
      <c r="P65" s="66">
        <v>0</v>
      </c>
      <c r="Q65" s="66">
        <v>0</v>
      </c>
      <c r="R65" s="66">
        <v>0</v>
      </c>
      <c r="S65" s="66">
        <v>0</v>
      </c>
      <c r="T65" s="66">
        <v>0</v>
      </c>
      <c r="U65" s="66">
        <v>0</v>
      </c>
      <c r="V65" s="66">
        <v>0</v>
      </c>
      <c r="W65" s="66">
        <v>0</v>
      </c>
      <c r="X65" s="66">
        <v>0</v>
      </c>
      <c r="Y65" s="66">
        <v>0</v>
      </c>
      <c r="Z65" s="66">
        <v>0</v>
      </c>
      <c r="AA65" s="66">
        <v>0</v>
      </c>
      <c r="AB65" s="66">
        <v>0</v>
      </c>
      <c r="AC65" s="66">
        <v>1</v>
      </c>
      <c r="AD65" s="66">
        <v>0</v>
      </c>
      <c r="AE65" s="66">
        <v>0</v>
      </c>
      <c r="AF65" s="66">
        <v>0</v>
      </c>
      <c r="AG65" s="66">
        <v>0</v>
      </c>
      <c r="AH65" s="66">
        <v>0</v>
      </c>
      <c r="AI65" s="66">
        <v>0</v>
      </c>
      <c r="AJ65" s="66">
        <v>0</v>
      </c>
      <c r="AK65" s="66">
        <v>0</v>
      </c>
      <c r="AL65" s="21">
        <v>0</v>
      </c>
      <c r="AM65" s="73"/>
    </row>
    <row r="66" spans="2:39" x14ac:dyDescent="0.2">
      <c r="B66" s="9"/>
      <c r="C66" s="1" t="s">
        <v>64</v>
      </c>
      <c r="D66" s="1" t="s">
        <v>43</v>
      </c>
      <c r="E66" s="65">
        <v>0</v>
      </c>
      <c r="F66" s="66">
        <v>0</v>
      </c>
      <c r="G66" s="67">
        <v>0</v>
      </c>
      <c r="H66" s="66">
        <v>0</v>
      </c>
      <c r="I66" s="66">
        <v>0</v>
      </c>
      <c r="J66" s="66">
        <v>0</v>
      </c>
      <c r="K66" s="66">
        <v>0</v>
      </c>
      <c r="L66" s="66">
        <v>0</v>
      </c>
      <c r="M66" s="66">
        <v>0</v>
      </c>
      <c r="N66" s="66">
        <v>0</v>
      </c>
      <c r="O66" s="66">
        <v>0</v>
      </c>
      <c r="P66" s="66">
        <v>0</v>
      </c>
      <c r="Q66" s="66">
        <v>0</v>
      </c>
      <c r="R66" s="66">
        <v>0</v>
      </c>
      <c r="S66" s="66">
        <v>0</v>
      </c>
      <c r="T66" s="66">
        <v>0</v>
      </c>
      <c r="U66" s="66">
        <v>1</v>
      </c>
      <c r="V66" s="66">
        <v>1</v>
      </c>
      <c r="W66" s="66">
        <v>0</v>
      </c>
      <c r="X66" s="66">
        <v>0</v>
      </c>
      <c r="Y66" s="66">
        <v>0</v>
      </c>
      <c r="Z66" s="66">
        <v>0</v>
      </c>
      <c r="AA66" s="66">
        <v>0</v>
      </c>
      <c r="AB66" s="66">
        <v>0</v>
      </c>
      <c r="AC66" s="66">
        <v>0</v>
      </c>
      <c r="AD66" s="66">
        <v>0</v>
      </c>
      <c r="AE66" s="66">
        <v>0</v>
      </c>
      <c r="AF66" s="66">
        <v>0</v>
      </c>
      <c r="AG66" s="66">
        <v>0</v>
      </c>
      <c r="AH66" s="66">
        <v>0</v>
      </c>
      <c r="AI66" s="66">
        <v>0</v>
      </c>
      <c r="AJ66" s="66">
        <v>0</v>
      </c>
      <c r="AK66" s="66">
        <v>0</v>
      </c>
      <c r="AL66" s="21">
        <v>0</v>
      </c>
      <c r="AM66" s="73"/>
    </row>
    <row r="67" spans="2:39" x14ac:dyDescent="0.2">
      <c r="B67" s="9"/>
      <c r="C67" s="1" t="s">
        <v>65</v>
      </c>
      <c r="D67" s="1" t="s">
        <v>43</v>
      </c>
      <c r="E67" s="65">
        <v>0</v>
      </c>
      <c r="F67" s="66">
        <v>0</v>
      </c>
      <c r="G67" s="67">
        <v>0</v>
      </c>
      <c r="H67" s="66">
        <v>0</v>
      </c>
      <c r="I67" s="66">
        <v>0</v>
      </c>
      <c r="J67" s="66">
        <v>0</v>
      </c>
      <c r="K67" s="66">
        <v>0</v>
      </c>
      <c r="L67" s="66">
        <v>0</v>
      </c>
      <c r="M67" s="66">
        <v>0</v>
      </c>
      <c r="N67" s="66">
        <v>0</v>
      </c>
      <c r="O67" s="66">
        <v>0</v>
      </c>
      <c r="P67" s="66">
        <v>0</v>
      </c>
      <c r="Q67" s="66">
        <v>0</v>
      </c>
      <c r="R67" s="66">
        <v>0</v>
      </c>
      <c r="S67" s="66">
        <v>0</v>
      </c>
      <c r="T67" s="66">
        <v>0</v>
      </c>
      <c r="U67" s="66">
        <v>0</v>
      </c>
      <c r="V67" s="5">
        <v>0</v>
      </c>
      <c r="W67" s="66">
        <v>1</v>
      </c>
      <c r="X67" s="66">
        <v>0</v>
      </c>
      <c r="Y67" s="66">
        <v>0</v>
      </c>
      <c r="Z67" s="66">
        <v>0</v>
      </c>
      <c r="AA67" s="66">
        <v>0</v>
      </c>
      <c r="AB67" s="66">
        <v>0</v>
      </c>
      <c r="AC67" s="66">
        <v>0</v>
      </c>
      <c r="AD67" s="66">
        <v>0</v>
      </c>
      <c r="AE67" s="66">
        <v>0</v>
      </c>
      <c r="AF67" s="66">
        <v>0</v>
      </c>
      <c r="AG67" s="66">
        <v>0</v>
      </c>
      <c r="AH67" s="66">
        <v>0</v>
      </c>
      <c r="AI67" s="66">
        <v>0</v>
      </c>
      <c r="AJ67" s="66">
        <v>0</v>
      </c>
      <c r="AK67" s="66">
        <v>0</v>
      </c>
      <c r="AL67" s="21">
        <v>0</v>
      </c>
      <c r="AM67" s="73"/>
    </row>
    <row r="68" spans="2:39" x14ac:dyDescent="0.2">
      <c r="B68" s="9"/>
      <c r="C68" s="1" t="s">
        <v>111</v>
      </c>
      <c r="D68" s="1" t="s">
        <v>22</v>
      </c>
      <c r="E68" s="68">
        <v>0</v>
      </c>
      <c r="F68" s="27">
        <v>0</v>
      </c>
      <c r="G68" s="69">
        <v>0</v>
      </c>
      <c r="H68" s="27">
        <f>D8*1.5</f>
        <v>0</v>
      </c>
      <c r="I68" s="27">
        <v>0</v>
      </c>
      <c r="J68" s="27">
        <v>0</v>
      </c>
      <c r="K68" s="27">
        <f>E8*100</f>
        <v>0</v>
      </c>
      <c r="L68" s="27">
        <v>0</v>
      </c>
      <c r="M68" s="27">
        <f>1000000</f>
        <v>1000000</v>
      </c>
      <c r="N68" s="27">
        <v>0</v>
      </c>
      <c r="O68" s="27">
        <v>0.9</v>
      </c>
      <c r="P68" s="27">
        <v>0</v>
      </c>
      <c r="Q68" s="27">
        <v>0</v>
      </c>
      <c r="R68" s="27">
        <v>0</v>
      </c>
      <c r="S68" s="27">
        <v>0</v>
      </c>
      <c r="T68" s="27">
        <v>0</v>
      </c>
      <c r="U68" s="27">
        <v>0.04</v>
      </c>
      <c r="V68" s="27">
        <v>0.03</v>
      </c>
      <c r="W68" s="27">
        <v>0.2</v>
      </c>
      <c r="X68" s="27">
        <v>0</v>
      </c>
      <c r="Y68" s="27">
        <v>0</v>
      </c>
      <c r="Z68" s="27">
        <v>0</v>
      </c>
      <c r="AA68" s="27">
        <v>0</v>
      </c>
      <c r="AB68" s="27">
        <v>0</v>
      </c>
      <c r="AC68" s="27">
        <v>0</v>
      </c>
      <c r="AD68" s="27">
        <v>0</v>
      </c>
      <c r="AE68" s="27">
        <v>0</v>
      </c>
      <c r="AF68" s="27">
        <v>8.6999999999999993</v>
      </c>
      <c r="AG68" s="27">
        <v>0</v>
      </c>
      <c r="AH68" s="27">
        <v>0</v>
      </c>
      <c r="AI68" s="27">
        <v>0</v>
      </c>
      <c r="AJ68" s="27">
        <v>0</v>
      </c>
      <c r="AK68" s="27">
        <v>0</v>
      </c>
      <c r="AL68" s="24">
        <v>0</v>
      </c>
      <c r="AM68" s="73"/>
    </row>
    <row r="69" spans="2:39" x14ac:dyDescent="0.2">
      <c r="B69" s="9"/>
      <c r="C69" s="1"/>
      <c r="D69" s="1"/>
      <c r="E69" s="66"/>
      <c r="F69" s="66"/>
      <c r="G69" s="66"/>
      <c r="H69" s="66"/>
      <c r="I69" s="66"/>
      <c r="J69" s="66"/>
      <c r="K69" s="66"/>
      <c r="L69" s="66"/>
      <c r="M69" s="66"/>
      <c r="N69" s="66"/>
      <c r="O69" s="66"/>
      <c r="P69" s="66"/>
      <c r="Q69" s="66"/>
      <c r="R69" s="66"/>
      <c r="S69" s="66"/>
      <c r="T69" s="66"/>
      <c r="U69" s="66"/>
      <c r="V69" s="66"/>
      <c r="W69" s="66"/>
      <c r="X69" s="66"/>
      <c r="Y69" s="66"/>
      <c r="Z69" s="66"/>
      <c r="AA69" s="66"/>
      <c r="AB69" s="66"/>
      <c r="AC69" s="66"/>
      <c r="AD69" s="66"/>
      <c r="AE69" s="66"/>
      <c r="AF69" s="66"/>
      <c r="AG69" s="66"/>
      <c r="AH69" s="66"/>
      <c r="AI69" s="66"/>
      <c r="AJ69" s="66"/>
      <c r="AK69" s="66"/>
      <c r="AM69" s="73"/>
    </row>
    <row r="70" spans="2:39" x14ac:dyDescent="0.2">
      <c r="B70" s="9"/>
      <c r="C70" s="1"/>
      <c r="D70" s="1"/>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6"/>
      <c r="AK70" s="66"/>
      <c r="AM70" s="73"/>
    </row>
    <row r="71" spans="2:39" x14ac:dyDescent="0.2">
      <c r="B71" s="10" t="s">
        <v>120</v>
      </c>
      <c r="C71" s="6" t="s">
        <v>114</v>
      </c>
      <c r="D71" s="1"/>
      <c r="E71" s="6" t="s">
        <v>59</v>
      </c>
      <c r="F71" s="6" t="s">
        <v>60</v>
      </c>
      <c r="G71" s="6" t="s">
        <v>61</v>
      </c>
      <c r="H71" s="6" t="s">
        <v>62</v>
      </c>
      <c r="I71" s="6" t="s">
        <v>63</v>
      </c>
      <c r="J71" s="6" t="s">
        <v>64</v>
      </c>
      <c r="K71" s="6" t="s">
        <v>65</v>
      </c>
      <c r="L71" s="6" t="s">
        <v>111</v>
      </c>
      <c r="M71" s="66"/>
      <c r="N71" s="66"/>
      <c r="O71" s="66"/>
      <c r="P71" s="66"/>
      <c r="Q71" s="66"/>
      <c r="R71" s="66"/>
      <c r="S71" s="66"/>
      <c r="T71" s="66"/>
      <c r="U71" s="66"/>
      <c r="V71" s="66"/>
      <c r="W71" s="66"/>
      <c r="X71" s="66"/>
      <c r="Y71" s="66"/>
      <c r="Z71" s="66"/>
      <c r="AA71" s="66"/>
      <c r="AB71" s="66"/>
      <c r="AC71" s="66"/>
      <c r="AD71" s="66"/>
      <c r="AE71" s="66"/>
      <c r="AF71" s="66"/>
      <c r="AG71" s="66"/>
      <c r="AH71" s="66"/>
      <c r="AI71" s="66"/>
      <c r="AJ71" s="66"/>
      <c r="AK71" s="66"/>
      <c r="AM71" s="73"/>
    </row>
    <row r="72" spans="2:39" x14ac:dyDescent="0.2">
      <c r="B72" s="9"/>
      <c r="C72" s="1" t="s">
        <v>115</v>
      </c>
      <c r="D72" s="1" t="s">
        <v>116</v>
      </c>
      <c r="E72" s="112">
        <v>1</v>
      </c>
      <c r="F72" s="26">
        <v>28</v>
      </c>
      <c r="G72" s="59">
        <v>0</v>
      </c>
      <c r="H72" s="59">
        <v>0</v>
      </c>
      <c r="I72" s="59">
        <v>0</v>
      </c>
      <c r="J72" s="59">
        <v>0</v>
      </c>
      <c r="K72" s="59">
        <v>0</v>
      </c>
      <c r="L72" s="62">
        <v>0</v>
      </c>
      <c r="M72" s="66"/>
      <c r="N72" s="66"/>
      <c r="O72" s="66"/>
      <c r="P72" s="66"/>
      <c r="Q72" s="66"/>
      <c r="R72" s="66"/>
      <c r="S72" s="66"/>
      <c r="T72" s="66"/>
      <c r="U72" s="66"/>
      <c r="V72" s="66"/>
      <c r="W72" s="66"/>
      <c r="X72" s="66"/>
      <c r="Y72" s="66"/>
      <c r="Z72" s="66"/>
      <c r="AA72" s="66"/>
      <c r="AB72" s="66"/>
      <c r="AC72" s="66"/>
      <c r="AD72" s="66"/>
      <c r="AE72" s="66"/>
      <c r="AF72" s="66"/>
      <c r="AG72" s="66"/>
      <c r="AH72" s="66"/>
      <c r="AI72" s="66"/>
      <c r="AJ72" s="66"/>
      <c r="AK72" s="66"/>
      <c r="AM72" s="73"/>
    </row>
    <row r="73" spans="2:39" x14ac:dyDescent="0.2">
      <c r="B73" s="9"/>
      <c r="C73" s="1" t="s">
        <v>61</v>
      </c>
      <c r="D73" s="1" t="s">
        <v>52</v>
      </c>
      <c r="E73" s="63">
        <v>0</v>
      </c>
      <c r="F73" s="1">
        <v>0</v>
      </c>
      <c r="G73" s="66">
        <v>1</v>
      </c>
      <c r="H73" s="1">
        <v>0</v>
      </c>
      <c r="I73" s="1">
        <v>0</v>
      </c>
      <c r="J73" s="1">
        <v>0</v>
      </c>
      <c r="K73" s="1">
        <v>0</v>
      </c>
      <c r="L73" s="64">
        <v>0</v>
      </c>
      <c r="M73" s="66"/>
      <c r="N73" s="66"/>
      <c r="O73" s="66"/>
      <c r="P73" s="66"/>
      <c r="Q73" s="66"/>
      <c r="R73" s="66"/>
      <c r="S73" s="66"/>
      <c r="T73" s="66"/>
      <c r="U73" s="66"/>
      <c r="V73" s="66"/>
      <c r="W73" s="66"/>
      <c r="X73" s="66"/>
      <c r="Y73" s="66"/>
      <c r="Z73" s="66"/>
      <c r="AA73" s="66"/>
      <c r="AB73" s="66"/>
      <c r="AC73" s="66"/>
      <c r="AD73" s="66"/>
      <c r="AE73" s="66"/>
      <c r="AF73" s="66"/>
      <c r="AG73" s="66"/>
      <c r="AH73" s="66"/>
      <c r="AI73" s="66"/>
      <c r="AJ73" s="66"/>
      <c r="AK73" s="66"/>
      <c r="AM73" s="73"/>
    </row>
    <row r="74" spans="2:39" x14ac:dyDescent="0.2">
      <c r="B74" s="9"/>
      <c r="C74" s="1" t="s">
        <v>117</v>
      </c>
      <c r="D74" s="1" t="s">
        <v>118</v>
      </c>
      <c r="E74" s="63">
        <v>0</v>
      </c>
      <c r="F74" s="1">
        <v>0</v>
      </c>
      <c r="G74" s="1">
        <v>0</v>
      </c>
      <c r="H74" s="117">
        <v>1.15E-5</v>
      </c>
      <c r="I74" s="117">
        <v>1.3699999999999999E-3</v>
      </c>
      <c r="J74" s="117">
        <v>5.2399999999999999E-8</v>
      </c>
      <c r="K74" s="117">
        <v>1.09E-9</v>
      </c>
      <c r="L74" s="119">
        <v>0</v>
      </c>
      <c r="M74" s="66"/>
      <c r="N74" s="66"/>
      <c r="O74" s="66"/>
      <c r="P74" s="66"/>
      <c r="Q74" s="66"/>
      <c r="R74" s="66"/>
      <c r="S74" s="66"/>
      <c r="T74" s="66"/>
      <c r="U74" s="66"/>
      <c r="V74" s="66"/>
      <c r="W74" s="66"/>
      <c r="X74" s="66"/>
      <c r="Y74" s="66"/>
      <c r="Z74" s="66"/>
      <c r="AA74" s="66"/>
      <c r="AB74" s="66"/>
      <c r="AC74" s="66"/>
      <c r="AD74" s="66"/>
      <c r="AE74" s="66"/>
      <c r="AF74" s="66"/>
      <c r="AG74" s="66"/>
      <c r="AH74" s="66"/>
      <c r="AI74" s="66"/>
      <c r="AJ74" s="66"/>
      <c r="AK74" s="66"/>
      <c r="AM74" s="73"/>
    </row>
    <row r="75" spans="2:39" x14ac:dyDescent="0.2">
      <c r="B75" s="9"/>
      <c r="C75" s="1" t="s">
        <v>119</v>
      </c>
      <c r="D75" s="1" t="s">
        <v>22</v>
      </c>
      <c r="E75" s="113">
        <v>0</v>
      </c>
      <c r="F75" s="114">
        <v>0</v>
      </c>
      <c r="G75" s="114">
        <v>0</v>
      </c>
      <c r="H75" s="115">
        <v>0</v>
      </c>
      <c r="I75" s="115">
        <v>0</v>
      </c>
      <c r="J75" s="115">
        <v>0</v>
      </c>
      <c r="K75" s="115">
        <v>0</v>
      </c>
      <c r="L75" s="116">
        <v>1</v>
      </c>
      <c r="M75" s="66"/>
      <c r="N75" s="66"/>
      <c r="O75" s="66"/>
      <c r="P75" s="66"/>
      <c r="Q75" s="66"/>
      <c r="R75" s="66"/>
      <c r="S75" s="66"/>
      <c r="T75" s="66"/>
      <c r="U75" s="66"/>
      <c r="V75" s="66"/>
      <c r="W75" s="66"/>
      <c r="X75" s="66"/>
      <c r="Y75" s="66"/>
      <c r="Z75" s="66"/>
      <c r="AA75" s="66"/>
      <c r="AB75" s="66"/>
      <c r="AC75" s="66"/>
      <c r="AD75" s="66"/>
      <c r="AE75" s="66"/>
      <c r="AF75" s="66"/>
      <c r="AG75" s="66"/>
      <c r="AH75" s="66"/>
      <c r="AI75" s="66"/>
      <c r="AJ75" s="66"/>
      <c r="AK75" s="66"/>
      <c r="AM75" s="73"/>
    </row>
    <row r="76" spans="2:39" ht="12" thickBot="1" x14ac:dyDescent="0.25">
      <c r="B76" s="11"/>
      <c r="C76" s="77"/>
      <c r="D76" s="77"/>
      <c r="E76" s="77"/>
      <c r="F76" s="77"/>
      <c r="G76" s="77"/>
      <c r="H76" s="77"/>
      <c r="I76" s="77"/>
      <c r="J76" s="77"/>
      <c r="K76" s="77"/>
      <c r="L76" s="77"/>
      <c r="M76" s="77"/>
      <c r="N76" s="77"/>
      <c r="O76" s="77"/>
      <c r="P76" s="77"/>
      <c r="Q76" s="77"/>
      <c r="R76" s="77"/>
      <c r="S76" s="77"/>
      <c r="T76" s="77"/>
      <c r="U76" s="77"/>
      <c r="V76" s="77"/>
      <c r="W76" s="77"/>
      <c r="X76" s="77"/>
      <c r="Y76" s="77"/>
      <c r="Z76" s="77"/>
      <c r="AA76" s="77"/>
      <c r="AB76" s="77"/>
      <c r="AC76" s="77"/>
      <c r="AD76" s="77"/>
      <c r="AE76" s="77"/>
      <c r="AF76" s="77"/>
      <c r="AG76" s="77"/>
      <c r="AH76" s="77"/>
      <c r="AI76" s="77"/>
      <c r="AJ76" s="77"/>
      <c r="AK76" s="77"/>
      <c r="AL76" s="77"/>
      <c r="AM76" s="78"/>
    </row>
    <row r="77" spans="2:39" ht="12" thickBot="1" x14ac:dyDescent="0.25"/>
    <row r="78" spans="2:39" x14ac:dyDescent="0.2">
      <c r="B78" s="2" t="s">
        <v>123</v>
      </c>
      <c r="C78" s="71"/>
      <c r="D78" s="71"/>
      <c r="E78" s="71"/>
      <c r="F78" s="71"/>
      <c r="G78" s="71"/>
      <c r="H78" s="71"/>
      <c r="I78" s="71"/>
      <c r="J78" s="71"/>
      <c r="K78" s="71"/>
      <c r="L78" s="71"/>
      <c r="M78" s="71"/>
      <c r="N78" s="71"/>
      <c r="O78" s="71"/>
      <c r="P78" s="71"/>
      <c r="Q78" s="71"/>
      <c r="R78" s="71"/>
      <c r="S78" s="71"/>
      <c r="T78" s="71"/>
      <c r="U78" s="71"/>
      <c r="V78" s="71"/>
      <c r="W78" s="71"/>
      <c r="X78" s="71"/>
      <c r="Y78" s="71"/>
      <c r="Z78" s="71"/>
      <c r="AA78" s="71"/>
      <c r="AB78" s="71"/>
      <c r="AC78" s="71"/>
      <c r="AD78" s="71"/>
      <c r="AE78" s="71"/>
      <c r="AF78" s="71"/>
      <c r="AG78" s="71"/>
      <c r="AH78" s="71"/>
      <c r="AI78" s="71"/>
      <c r="AJ78" s="71"/>
      <c r="AK78" s="71"/>
      <c r="AL78" s="71"/>
      <c r="AM78" s="72"/>
    </row>
    <row r="79" spans="2:39" x14ac:dyDescent="0.2">
      <c r="B79" s="4"/>
      <c r="AM79" s="73"/>
    </row>
    <row r="80" spans="2:39" ht="12" thickBot="1" x14ac:dyDescent="0.25">
      <c r="B80" s="4" t="s">
        <v>128</v>
      </c>
      <c r="C80" s="6" t="s">
        <v>114</v>
      </c>
      <c r="AM80" s="73"/>
    </row>
    <row r="81" spans="2:39" x14ac:dyDescent="0.2">
      <c r="B81" s="4"/>
      <c r="C81" s="1" t="s">
        <v>115</v>
      </c>
      <c r="D81" s="1" t="s">
        <v>116</v>
      </c>
      <c r="E81" s="127">
        <f t="array" ref="E81:AL84">MMULT(E72:L75,E61:AL68)</f>
        <v>0</v>
      </c>
      <c r="F81" s="71">
        <v>0</v>
      </c>
      <c r="G81" s="71">
        <v>0</v>
      </c>
      <c r="H81" s="71">
        <v>0</v>
      </c>
      <c r="I81" s="71">
        <v>0</v>
      </c>
      <c r="J81" s="71">
        <v>0</v>
      </c>
      <c r="K81" s="71">
        <v>0</v>
      </c>
      <c r="L81" s="71">
        <v>0</v>
      </c>
      <c r="M81" s="71">
        <v>0</v>
      </c>
      <c r="N81" s="71">
        <v>1300</v>
      </c>
      <c r="O81" s="71">
        <v>25</v>
      </c>
      <c r="P81" s="71">
        <v>0</v>
      </c>
      <c r="Q81" s="71">
        <v>0</v>
      </c>
      <c r="R81" s="71">
        <v>0</v>
      </c>
      <c r="S81" s="71">
        <v>0</v>
      </c>
      <c r="T81" s="71">
        <v>3.58</v>
      </c>
      <c r="U81" s="71">
        <v>2.4700000000000002</v>
      </c>
      <c r="V81" s="71">
        <v>1.6</v>
      </c>
      <c r="W81" s="71">
        <v>12.05</v>
      </c>
      <c r="X81" s="71">
        <v>1.1299999999999999</v>
      </c>
      <c r="Y81" s="71">
        <v>5.68</v>
      </c>
      <c r="Z81" s="71">
        <v>3.61</v>
      </c>
      <c r="AA81" s="71">
        <v>3.3</v>
      </c>
      <c r="AB81" s="71">
        <v>4.2</v>
      </c>
      <c r="AC81" s="71">
        <v>3.61</v>
      </c>
      <c r="AD81" s="71">
        <v>7.67</v>
      </c>
      <c r="AE81" s="71">
        <v>36.630000000000003</v>
      </c>
      <c r="AF81" s="71">
        <v>300</v>
      </c>
      <c r="AG81" s="71">
        <v>8.0000000000000002E-3</v>
      </c>
      <c r="AH81" s="71">
        <v>1.05</v>
      </c>
      <c r="AI81" s="71">
        <v>0.45</v>
      </c>
      <c r="AJ81" s="71">
        <v>1.4900000000000002</v>
      </c>
      <c r="AK81" s="71">
        <v>0.1</v>
      </c>
      <c r="AL81" s="72">
        <v>8.5599999999999996E-2</v>
      </c>
      <c r="AM81" s="73"/>
    </row>
    <row r="82" spans="2:39" x14ac:dyDescent="0.2">
      <c r="B82" s="4"/>
      <c r="C82" s="1" t="s">
        <v>61</v>
      </c>
      <c r="D82" s="1" t="s">
        <v>52</v>
      </c>
      <c r="E82" s="9">
        <v>0</v>
      </c>
      <c r="F82" s="5">
        <v>0</v>
      </c>
      <c r="G82" s="5">
        <v>0</v>
      </c>
      <c r="H82" s="5">
        <v>0</v>
      </c>
      <c r="I82" s="5">
        <v>0</v>
      </c>
      <c r="J82" s="5">
        <v>0</v>
      </c>
      <c r="K82" s="5">
        <v>0</v>
      </c>
      <c r="L82" s="5">
        <v>0</v>
      </c>
      <c r="M82" s="5">
        <v>0</v>
      </c>
      <c r="N82" s="5">
        <v>300000</v>
      </c>
      <c r="O82" s="5">
        <v>600000</v>
      </c>
      <c r="P82" s="5">
        <v>0</v>
      </c>
      <c r="Q82" s="5">
        <v>0</v>
      </c>
      <c r="R82" s="5">
        <v>0</v>
      </c>
      <c r="S82" s="5">
        <v>0</v>
      </c>
      <c r="T82" s="5">
        <v>0</v>
      </c>
      <c r="U82" s="5">
        <v>32.04</v>
      </c>
      <c r="V82" s="5">
        <v>12.6</v>
      </c>
      <c r="W82" s="5">
        <v>191.52</v>
      </c>
      <c r="X82" s="5">
        <v>11.879999999999999</v>
      </c>
      <c r="Y82" s="5">
        <v>100.8</v>
      </c>
      <c r="Z82" s="5">
        <v>30.96</v>
      </c>
      <c r="AA82" s="5">
        <v>35.64</v>
      </c>
      <c r="AB82" s="5">
        <v>47.88</v>
      </c>
      <c r="AC82" s="5">
        <v>42.84</v>
      </c>
      <c r="AD82" s="5">
        <v>109.08</v>
      </c>
      <c r="AE82" s="5">
        <v>480.24</v>
      </c>
      <c r="AF82" s="5">
        <v>2100</v>
      </c>
      <c r="AG82" s="5">
        <v>0.3</v>
      </c>
      <c r="AH82" s="5">
        <v>11</v>
      </c>
      <c r="AI82" s="5">
        <v>13</v>
      </c>
      <c r="AJ82" s="5">
        <v>9</v>
      </c>
      <c r="AK82" s="5">
        <v>1.31</v>
      </c>
      <c r="AL82" s="73">
        <v>1.31</v>
      </c>
      <c r="AM82" s="73"/>
    </row>
    <row r="83" spans="2:39" x14ac:dyDescent="0.2">
      <c r="B83" s="4"/>
      <c r="C83" s="1" t="s">
        <v>117</v>
      </c>
      <c r="D83" s="1" t="s">
        <v>118</v>
      </c>
      <c r="E83" s="9">
        <v>0</v>
      </c>
      <c r="F83" s="5">
        <v>0</v>
      </c>
      <c r="G83" s="5">
        <v>0</v>
      </c>
      <c r="H83" s="5">
        <v>0</v>
      </c>
      <c r="I83" s="5">
        <v>0</v>
      </c>
      <c r="J83" s="5">
        <v>0</v>
      </c>
      <c r="K83" s="5">
        <v>0</v>
      </c>
      <c r="L83" s="5">
        <v>0</v>
      </c>
      <c r="M83" s="5">
        <v>0</v>
      </c>
      <c r="N83" s="5">
        <v>0</v>
      </c>
      <c r="O83" s="5">
        <v>0</v>
      </c>
      <c r="P83" s="5">
        <v>0</v>
      </c>
      <c r="Q83" s="5">
        <v>0</v>
      </c>
      <c r="R83" s="5">
        <v>0</v>
      </c>
      <c r="S83" s="5">
        <v>0</v>
      </c>
      <c r="T83" s="5">
        <v>0</v>
      </c>
      <c r="U83" s="5">
        <v>5.2399999999999999E-8</v>
      </c>
      <c r="V83" s="5">
        <v>5.2399999999999999E-8</v>
      </c>
      <c r="W83" s="5">
        <v>1.09E-9</v>
      </c>
      <c r="X83" s="5">
        <v>0</v>
      </c>
      <c r="Y83" s="5">
        <v>0</v>
      </c>
      <c r="Z83" s="5">
        <v>0</v>
      </c>
      <c r="AA83" s="5">
        <v>0</v>
      </c>
      <c r="AB83" s="5">
        <v>0</v>
      </c>
      <c r="AC83" s="5">
        <v>1.3699999999999999E-3</v>
      </c>
      <c r="AD83" s="5">
        <v>0</v>
      </c>
      <c r="AE83" s="5">
        <v>0</v>
      </c>
      <c r="AF83" s="5">
        <v>0</v>
      </c>
      <c r="AG83" s="5">
        <v>0</v>
      </c>
      <c r="AH83" s="5">
        <v>0</v>
      </c>
      <c r="AI83" s="5">
        <v>0</v>
      </c>
      <c r="AJ83" s="5">
        <v>0</v>
      </c>
      <c r="AK83" s="5">
        <v>0</v>
      </c>
      <c r="AL83" s="73">
        <v>0</v>
      </c>
      <c r="AM83" s="73"/>
    </row>
    <row r="84" spans="2:39" ht="12" thickBot="1" x14ac:dyDescent="0.25">
      <c r="B84" s="4"/>
      <c r="C84" s="1" t="s">
        <v>119</v>
      </c>
      <c r="D84" s="1" t="s">
        <v>22</v>
      </c>
      <c r="E84" s="11">
        <v>0</v>
      </c>
      <c r="F84" s="77">
        <v>0</v>
      </c>
      <c r="G84" s="77">
        <v>0</v>
      </c>
      <c r="H84" s="77">
        <v>0</v>
      </c>
      <c r="I84" s="77">
        <v>0</v>
      </c>
      <c r="J84" s="77">
        <v>0</v>
      </c>
      <c r="K84" s="77">
        <v>0</v>
      </c>
      <c r="L84" s="77">
        <v>0</v>
      </c>
      <c r="M84" s="77">
        <v>1000000</v>
      </c>
      <c r="N84" s="77">
        <v>0</v>
      </c>
      <c r="O84" s="77">
        <v>0.9</v>
      </c>
      <c r="P84" s="77">
        <v>0</v>
      </c>
      <c r="Q84" s="77">
        <v>0</v>
      </c>
      <c r="R84" s="77">
        <v>0</v>
      </c>
      <c r="S84" s="77">
        <v>0</v>
      </c>
      <c r="T84" s="77">
        <v>0</v>
      </c>
      <c r="U84" s="77">
        <v>0.04</v>
      </c>
      <c r="V84" s="77">
        <v>0.03</v>
      </c>
      <c r="W84" s="77">
        <v>0.2</v>
      </c>
      <c r="X84" s="77">
        <v>0</v>
      </c>
      <c r="Y84" s="77">
        <v>0</v>
      </c>
      <c r="Z84" s="77">
        <v>0</v>
      </c>
      <c r="AA84" s="77">
        <v>0</v>
      </c>
      <c r="AB84" s="77">
        <v>0</v>
      </c>
      <c r="AC84" s="77">
        <v>0</v>
      </c>
      <c r="AD84" s="77">
        <v>0</v>
      </c>
      <c r="AE84" s="77">
        <v>0</v>
      </c>
      <c r="AF84" s="77">
        <v>8.6999999999999993</v>
      </c>
      <c r="AG84" s="77">
        <v>0</v>
      </c>
      <c r="AH84" s="77">
        <v>0</v>
      </c>
      <c r="AI84" s="77">
        <v>0</v>
      </c>
      <c r="AJ84" s="77">
        <v>0</v>
      </c>
      <c r="AK84" s="77">
        <v>0</v>
      </c>
      <c r="AL84" s="78">
        <v>0</v>
      </c>
      <c r="AM84" s="73"/>
    </row>
    <row r="85" spans="2:39" x14ac:dyDescent="0.2">
      <c r="B85" s="4"/>
      <c r="AM85" s="73"/>
    </row>
    <row r="86" spans="2:39" x14ac:dyDescent="0.2">
      <c r="B86" s="4"/>
      <c r="AM86" s="73"/>
    </row>
    <row r="87" spans="2:39" x14ac:dyDescent="0.2">
      <c r="B87" s="4"/>
      <c r="AM87" s="73"/>
    </row>
    <row r="88" spans="2:39" x14ac:dyDescent="0.2">
      <c r="B88" s="4"/>
      <c r="AM88" s="73"/>
    </row>
    <row r="89" spans="2:39" ht="145.5" x14ac:dyDescent="0.2">
      <c r="B89" s="10" t="s">
        <v>86</v>
      </c>
      <c r="C89" s="1"/>
      <c r="D89" s="1"/>
      <c r="E89" s="74" t="s">
        <v>14</v>
      </c>
      <c r="F89" s="74" t="s">
        <v>12</v>
      </c>
      <c r="G89" s="74" t="s">
        <v>13</v>
      </c>
      <c r="H89" s="14" t="s">
        <v>16</v>
      </c>
      <c r="I89" s="14" t="s">
        <v>17</v>
      </c>
      <c r="J89" s="14" t="s">
        <v>49</v>
      </c>
      <c r="K89" s="75" t="s">
        <v>53</v>
      </c>
      <c r="L89" s="75" t="s">
        <v>48</v>
      </c>
      <c r="M89" s="76" t="s">
        <v>54</v>
      </c>
      <c r="N89" s="76" t="s">
        <v>55</v>
      </c>
      <c r="O89" s="76" t="s">
        <v>110</v>
      </c>
      <c r="P89" s="13" t="s">
        <v>18</v>
      </c>
      <c r="Q89" s="13" t="s">
        <v>19</v>
      </c>
      <c r="R89" s="13" t="s">
        <v>20</v>
      </c>
      <c r="S89" s="13" t="s">
        <v>21</v>
      </c>
      <c r="T89" s="13" t="s">
        <v>50</v>
      </c>
      <c r="U89" s="13" t="s">
        <v>32</v>
      </c>
      <c r="V89" s="13" t="s">
        <v>33</v>
      </c>
      <c r="W89" s="13" t="s">
        <v>34</v>
      </c>
      <c r="X89" s="13" t="s">
        <v>35</v>
      </c>
      <c r="Y89" s="13" t="s">
        <v>36</v>
      </c>
      <c r="Z89" s="13" t="s">
        <v>37</v>
      </c>
      <c r="AA89" s="13" t="s">
        <v>38</v>
      </c>
      <c r="AB89" s="13" t="s">
        <v>39</v>
      </c>
      <c r="AC89" s="13" t="s">
        <v>40</v>
      </c>
      <c r="AD89" s="13" t="s">
        <v>41</v>
      </c>
      <c r="AE89" s="13" t="s">
        <v>42</v>
      </c>
      <c r="AF89" s="13" t="s">
        <v>93</v>
      </c>
      <c r="AG89" s="13" t="s">
        <v>44</v>
      </c>
      <c r="AH89" s="13" t="s">
        <v>45</v>
      </c>
      <c r="AI89" s="13" t="s">
        <v>46</v>
      </c>
      <c r="AJ89" s="13" t="s">
        <v>47</v>
      </c>
      <c r="AK89" s="13" t="s">
        <v>96</v>
      </c>
      <c r="AL89" s="13" t="s">
        <v>51</v>
      </c>
      <c r="AM89" s="73"/>
    </row>
    <row r="90" spans="2:39" ht="21.75" x14ac:dyDescent="0.2">
      <c r="B90" s="9"/>
      <c r="C90" s="6" t="s">
        <v>9</v>
      </c>
      <c r="D90" s="6" t="s">
        <v>10</v>
      </c>
      <c r="E90" s="74" t="s">
        <v>11</v>
      </c>
      <c r="F90" s="74" t="s">
        <v>11</v>
      </c>
      <c r="G90" s="74" t="s">
        <v>11</v>
      </c>
      <c r="H90" s="14" t="s">
        <v>10</v>
      </c>
      <c r="I90" s="14" t="s">
        <v>22</v>
      </c>
      <c r="J90" s="14" t="s">
        <v>22</v>
      </c>
      <c r="K90" s="75" t="s">
        <v>10</v>
      </c>
      <c r="L90" s="75" t="s">
        <v>10</v>
      </c>
      <c r="M90" s="76" t="s">
        <v>10</v>
      </c>
      <c r="N90" s="76" t="s">
        <v>43</v>
      </c>
      <c r="O90" s="76" t="s">
        <v>43</v>
      </c>
      <c r="P90" s="13" t="s">
        <v>10</v>
      </c>
      <c r="Q90" s="13" t="s">
        <v>11</v>
      </c>
      <c r="R90" s="13" t="s">
        <v>11</v>
      </c>
      <c r="S90" s="13" t="s">
        <v>11</v>
      </c>
      <c r="T90" s="13" t="s">
        <v>43</v>
      </c>
      <c r="U90" s="13" t="s">
        <v>43</v>
      </c>
      <c r="V90" s="13" t="s">
        <v>43</v>
      </c>
      <c r="W90" s="13" t="s">
        <v>43</v>
      </c>
      <c r="X90" s="13" t="s">
        <v>43</v>
      </c>
      <c r="Y90" s="13" t="s">
        <v>43</v>
      </c>
      <c r="Z90" s="13" t="s">
        <v>43</v>
      </c>
      <c r="AA90" s="13" t="s">
        <v>43</v>
      </c>
      <c r="AB90" s="13" t="s">
        <v>43</v>
      </c>
      <c r="AC90" s="13" t="s">
        <v>43</v>
      </c>
      <c r="AD90" s="13" t="s">
        <v>43</v>
      </c>
      <c r="AE90" s="13" t="s">
        <v>43</v>
      </c>
      <c r="AF90" s="13" t="s">
        <v>94</v>
      </c>
      <c r="AG90" s="13" t="s">
        <v>11</v>
      </c>
      <c r="AH90" s="13" t="s">
        <v>11</v>
      </c>
      <c r="AI90" s="13" t="s">
        <v>11</v>
      </c>
      <c r="AJ90" s="13" t="s">
        <v>11</v>
      </c>
      <c r="AK90" s="13" t="s">
        <v>52</v>
      </c>
      <c r="AL90" s="13" t="s">
        <v>52</v>
      </c>
      <c r="AM90" s="73"/>
    </row>
    <row r="91" spans="2:39" x14ac:dyDescent="0.2">
      <c r="B91" s="9"/>
      <c r="C91" s="8" t="s">
        <v>14</v>
      </c>
      <c r="D91" s="8" t="s">
        <v>11</v>
      </c>
      <c r="E91" s="50">
        <f t="array" ref="E91:AL124">MINVERSE(_xlfn.MUNIT(COLUMNS(E22:AL22))-E24:AL57)</f>
        <v>1</v>
      </c>
      <c r="F91" s="51">
        <v>0</v>
      </c>
      <c r="G91" s="52">
        <v>0</v>
      </c>
      <c r="H91" s="36">
        <v>0</v>
      </c>
      <c r="I91" s="36">
        <v>0</v>
      </c>
      <c r="J91" s="36">
        <v>0</v>
      </c>
      <c r="K91" s="36">
        <v>0</v>
      </c>
      <c r="L91" s="36">
        <v>0</v>
      </c>
      <c r="M91" s="36">
        <v>0</v>
      </c>
      <c r="N91" s="36">
        <v>0</v>
      </c>
      <c r="O91" s="36">
        <v>0</v>
      </c>
      <c r="P91" s="36">
        <v>0</v>
      </c>
      <c r="Q91" s="36">
        <v>0</v>
      </c>
      <c r="R91" s="36">
        <v>0</v>
      </c>
      <c r="S91" s="36">
        <v>0</v>
      </c>
      <c r="T91" s="36">
        <v>0</v>
      </c>
      <c r="U91" s="36">
        <v>0</v>
      </c>
      <c r="V91" s="36">
        <v>0</v>
      </c>
      <c r="W91" s="36">
        <v>0</v>
      </c>
      <c r="X91" s="36">
        <v>0</v>
      </c>
      <c r="Y91" s="36">
        <v>0</v>
      </c>
      <c r="Z91" s="36">
        <v>0</v>
      </c>
      <c r="AA91" s="36">
        <v>0</v>
      </c>
      <c r="AB91" s="36">
        <v>0</v>
      </c>
      <c r="AC91" s="36">
        <v>0</v>
      </c>
      <c r="AD91" s="36">
        <v>0</v>
      </c>
      <c r="AE91" s="36">
        <v>0</v>
      </c>
      <c r="AF91" s="36">
        <v>0</v>
      </c>
      <c r="AG91" s="36">
        <v>0</v>
      </c>
      <c r="AH91" s="36">
        <v>0</v>
      </c>
      <c r="AI91" s="36">
        <v>0</v>
      </c>
      <c r="AJ91" s="36">
        <v>0</v>
      </c>
      <c r="AK91" s="36">
        <v>0</v>
      </c>
      <c r="AL91" s="37">
        <v>0</v>
      </c>
      <c r="AM91" s="73"/>
    </row>
    <row r="92" spans="2:39" x14ac:dyDescent="0.2">
      <c r="B92" s="9"/>
      <c r="C92" s="8" t="s">
        <v>12</v>
      </c>
      <c r="D92" s="8" t="s">
        <v>11</v>
      </c>
      <c r="E92" s="53">
        <v>0</v>
      </c>
      <c r="F92" s="54">
        <v>1</v>
      </c>
      <c r="G92" s="55">
        <v>0</v>
      </c>
      <c r="H92" s="39">
        <v>0</v>
      </c>
      <c r="I92" s="39">
        <v>0</v>
      </c>
      <c r="J92" s="39">
        <v>0</v>
      </c>
      <c r="K92" s="39">
        <v>0</v>
      </c>
      <c r="L92" s="39">
        <v>0</v>
      </c>
      <c r="M92" s="39">
        <v>0</v>
      </c>
      <c r="N92" s="39">
        <v>0</v>
      </c>
      <c r="O92" s="39">
        <v>0</v>
      </c>
      <c r="P92" s="39">
        <v>0</v>
      </c>
      <c r="Q92" s="39">
        <v>0</v>
      </c>
      <c r="R92" s="39">
        <v>0</v>
      </c>
      <c r="S92" s="39">
        <v>0</v>
      </c>
      <c r="T92" s="39">
        <v>0</v>
      </c>
      <c r="U92" s="39">
        <v>0</v>
      </c>
      <c r="V92" s="39">
        <v>0</v>
      </c>
      <c r="W92" s="39">
        <v>0</v>
      </c>
      <c r="X92" s="39">
        <v>0</v>
      </c>
      <c r="Y92" s="39">
        <v>0</v>
      </c>
      <c r="Z92" s="39">
        <v>0</v>
      </c>
      <c r="AA92" s="39">
        <v>0</v>
      </c>
      <c r="AB92" s="39">
        <v>0</v>
      </c>
      <c r="AC92" s="39">
        <v>0</v>
      </c>
      <c r="AD92" s="39">
        <v>0</v>
      </c>
      <c r="AE92" s="39">
        <v>0</v>
      </c>
      <c r="AF92" s="39">
        <v>0</v>
      </c>
      <c r="AG92" s="39">
        <v>0</v>
      </c>
      <c r="AH92" s="39">
        <v>0</v>
      </c>
      <c r="AI92" s="39">
        <v>0</v>
      </c>
      <c r="AJ92" s="39">
        <v>0</v>
      </c>
      <c r="AK92" s="39">
        <v>0</v>
      </c>
      <c r="AL92" s="40">
        <v>0</v>
      </c>
      <c r="AM92" s="73"/>
    </row>
    <row r="93" spans="2:39" x14ac:dyDescent="0.2">
      <c r="B93" s="9"/>
      <c r="C93" s="8" t="s">
        <v>13</v>
      </c>
      <c r="D93" s="8" t="s">
        <v>11</v>
      </c>
      <c r="E93" s="53">
        <v>0</v>
      </c>
      <c r="F93" s="54">
        <v>0</v>
      </c>
      <c r="G93" s="55">
        <v>1</v>
      </c>
      <c r="H93" s="39">
        <v>0</v>
      </c>
      <c r="I93" s="39">
        <v>0</v>
      </c>
      <c r="J93" s="39">
        <v>0</v>
      </c>
      <c r="K93" s="39">
        <v>0</v>
      </c>
      <c r="L93" s="39">
        <v>0</v>
      </c>
      <c r="M93" s="39">
        <v>0</v>
      </c>
      <c r="N93" s="39">
        <v>0</v>
      </c>
      <c r="O93" s="39">
        <v>0</v>
      </c>
      <c r="P93" s="39">
        <v>0</v>
      </c>
      <c r="Q93" s="39">
        <v>0</v>
      </c>
      <c r="R93" s="39">
        <v>0</v>
      </c>
      <c r="S93" s="39">
        <v>0</v>
      </c>
      <c r="T93" s="39">
        <v>0</v>
      </c>
      <c r="U93" s="39">
        <v>0</v>
      </c>
      <c r="V93" s="39">
        <v>0</v>
      </c>
      <c r="W93" s="39">
        <v>0</v>
      </c>
      <c r="X93" s="39">
        <v>0</v>
      </c>
      <c r="Y93" s="39">
        <v>0</v>
      </c>
      <c r="Z93" s="39">
        <v>0</v>
      </c>
      <c r="AA93" s="39">
        <v>0</v>
      </c>
      <c r="AB93" s="39">
        <v>0</v>
      </c>
      <c r="AC93" s="39">
        <v>0</v>
      </c>
      <c r="AD93" s="39">
        <v>0</v>
      </c>
      <c r="AE93" s="39">
        <v>0</v>
      </c>
      <c r="AF93" s="39">
        <v>0</v>
      </c>
      <c r="AG93" s="39">
        <v>0</v>
      </c>
      <c r="AH93" s="39">
        <v>0</v>
      </c>
      <c r="AI93" s="39">
        <v>0</v>
      </c>
      <c r="AJ93" s="39">
        <v>0</v>
      </c>
      <c r="AK93" s="39">
        <v>0</v>
      </c>
      <c r="AL93" s="40">
        <v>0</v>
      </c>
      <c r="AM93" s="73"/>
    </row>
    <row r="94" spans="2:39" x14ac:dyDescent="0.2">
      <c r="B94" s="9"/>
      <c r="C94" s="16" t="s">
        <v>16</v>
      </c>
      <c r="D94" s="16" t="s">
        <v>10</v>
      </c>
      <c r="E94" s="53">
        <v>0</v>
      </c>
      <c r="F94" s="54">
        <v>0</v>
      </c>
      <c r="G94" s="54">
        <v>0</v>
      </c>
      <c r="H94" s="111">
        <v>1</v>
      </c>
      <c r="I94" s="41">
        <v>1.7711825981024229E-22</v>
      </c>
      <c r="J94" s="41">
        <v>-1.7711825981024229E-22</v>
      </c>
      <c r="K94" s="39">
        <v>0</v>
      </c>
      <c r="L94" s="39">
        <v>6.8013411767133047E-18</v>
      </c>
      <c r="M94" s="39">
        <v>1.3580918061661125E-15</v>
      </c>
      <c r="N94" s="39">
        <v>0</v>
      </c>
      <c r="O94" s="39">
        <v>0</v>
      </c>
      <c r="P94" s="39">
        <v>0</v>
      </c>
      <c r="Q94" s="39">
        <v>-1.6543612251060546E-24</v>
      </c>
      <c r="R94" s="39">
        <v>0</v>
      </c>
      <c r="S94" s="39">
        <v>0</v>
      </c>
      <c r="T94" s="39">
        <v>2.5028660419183463E-22</v>
      </c>
      <c r="U94" s="39">
        <v>0</v>
      </c>
      <c r="V94" s="39">
        <v>0</v>
      </c>
      <c r="W94" s="39">
        <v>0</v>
      </c>
      <c r="X94" s="39">
        <v>0</v>
      </c>
      <c r="Y94" s="39">
        <v>0</v>
      </c>
      <c r="Z94" s="39">
        <v>2.1175823681357513E-22</v>
      </c>
      <c r="AA94" s="39">
        <v>0</v>
      </c>
      <c r="AB94" s="39">
        <v>0</v>
      </c>
      <c r="AC94" s="39">
        <v>0</v>
      </c>
      <c r="AD94" s="39">
        <v>0</v>
      </c>
      <c r="AE94" s="39">
        <v>0</v>
      </c>
      <c r="AF94" s="39">
        <v>0</v>
      </c>
      <c r="AG94" s="39">
        <v>0</v>
      </c>
      <c r="AH94" s="39">
        <v>0</v>
      </c>
      <c r="AI94" s="39">
        <v>0</v>
      </c>
      <c r="AJ94" s="39">
        <v>0</v>
      </c>
      <c r="AK94" s="39">
        <v>0</v>
      </c>
      <c r="AL94" s="40">
        <v>0</v>
      </c>
      <c r="AM94" s="73"/>
    </row>
    <row r="95" spans="2:39" x14ac:dyDescent="0.2">
      <c r="B95" s="9"/>
      <c r="C95" s="16" t="s">
        <v>17</v>
      </c>
      <c r="D95" s="16" t="s">
        <v>22</v>
      </c>
      <c r="E95" s="53">
        <v>0</v>
      </c>
      <c r="F95" s="54">
        <v>0</v>
      </c>
      <c r="G95" s="54">
        <v>0</v>
      </c>
      <c r="H95" s="111">
        <v>-1.5379237889108267E-15</v>
      </c>
      <c r="I95" s="41">
        <v>1.0000000000000002</v>
      </c>
      <c r="J95" s="41">
        <v>2.4565432964122907E-36</v>
      </c>
      <c r="K95" s="39">
        <v>0</v>
      </c>
      <c r="L95" s="39">
        <v>7.2504360791846959E-16</v>
      </c>
      <c r="M95" s="39">
        <v>6.0821066097337374E-9</v>
      </c>
      <c r="N95" s="39">
        <v>0</v>
      </c>
      <c r="O95" s="39">
        <v>0</v>
      </c>
      <c r="P95" s="39">
        <v>-3.5113180065117336E-18</v>
      </c>
      <c r="Q95" s="39">
        <v>2.1792150032506791E-38</v>
      </c>
      <c r="R95" s="39">
        <v>0</v>
      </c>
      <c r="S95" s="39">
        <v>0</v>
      </c>
      <c r="T95" s="39">
        <v>-4.784799567408082E-16</v>
      </c>
      <c r="U95" s="39">
        <v>0</v>
      </c>
      <c r="V95" s="39">
        <v>0</v>
      </c>
      <c r="W95" s="39">
        <v>0</v>
      </c>
      <c r="X95" s="39">
        <v>0</v>
      </c>
      <c r="Y95" s="39">
        <v>0</v>
      </c>
      <c r="Z95" s="39">
        <v>1.3552527156068801E-20</v>
      </c>
      <c r="AA95" s="39">
        <v>0</v>
      </c>
      <c r="AB95" s="39">
        <v>0</v>
      </c>
      <c r="AC95" s="39">
        <v>0</v>
      </c>
      <c r="AD95" s="39">
        <v>0</v>
      </c>
      <c r="AE95" s="39">
        <v>0</v>
      </c>
      <c r="AF95" s="39">
        <v>0</v>
      </c>
      <c r="AG95" s="39">
        <v>0</v>
      </c>
      <c r="AH95" s="39">
        <v>0</v>
      </c>
      <c r="AI95" s="39">
        <v>0</v>
      </c>
      <c r="AJ95" s="39">
        <v>0</v>
      </c>
      <c r="AK95" s="39">
        <v>0</v>
      </c>
      <c r="AL95" s="40">
        <v>0</v>
      </c>
      <c r="AM95" s="73"/>
    </row>
    <row r="96" spans="2:39" x14ac:dyDescent="0.2">
      <c r="B96" s="9"/>
      <c r="C96" s="16" t="s">
        <v>49</v>
      </c>
      <c r="D96" s="16" t="s">
        <v>22</v>
      </c>
      <c r="E96" s="53">
        <v>0</v>
      </c>
      <c r="F96" s="54">
        <v>0</v>
      </c>
      <c r="G96" s="54">
        <v>0</v>
      </c>
      <c r="H96" s="111">
        <v>1.3304608208792549E-10</v>
      </c>
      <c r="I96" s="41">
        <v>3.0934947651883905E-16</v>
      </c>
      <c r="J96" s="41">
        <v>1</v>
      </c>
      <c r="K96" s="39">
        <v>0</v>
      </c>
      <c r="L96" s="39">
        <v>3.3261520521981374E-11</v>
      </c>
      <c r="M96" s="39">
        <v>0</v>
      </c>
      <c r="N96" s="39">
        <v>0</v>
      </c>
      <c r="O96" s="39">
        <v>0</v>
      </c>
      <c r="P96" s="39">
        <v>3.8978344361696922E-13</v>
      </c>
      <c r="Q96" s="39">
        <v>6.6031883807562368E-34</v>
      </c>
      <c r="R96" s="39">
        <v>0</v>
      </c>
      <c r="S96" s="39">
        <v>0</v>
      </c>
      <c r="T96" s="39">
        <v>4.2937509778169999E-16</v>
      </c>
      <c r="U96" s="39">
        <v>0</v>
      </c>
      <c r="V96" s="39">
        <v>0</v>
      </c>
      <c r="W96" s="39">
        <v>0</v>
      </c>
      <c r="X96" s="39">
        <v>0</v>
      </c>
      <c r="Y96" s="39">
        <v>0</v>
      </c>
      <c r="Z96" s="39">
        <v>-8.9107866050887562E-21</v>
      </c>
      <c r="AA96" s="39">
        <v>0</v>
      </c>
      <c r="AB96" s="39">
        <v>0</v>
      </c>
      <c r="AC96" s="39">
        <v>0</v>
      </c>
      <c r="AD96" s="39">
        <v>0</v>
      </c>
      <c r="AE96" s="39">
        <v>0</v>
      </c>
      <c r="AF96" s="39">
        <v>0</v>
      </c>
      <c r="AG96" s="39">
        <v>0</v>
      </c>
      <c r="AH96" s="39">
        <v>0</v>
      </c>
      <c r="AI96" s="39">
        <v>0</v>
      </c>
      <c r="AJ96" s="39">
        <v>0</v>
      </c>
      <c r="AK96" s="39">
        <v>0</v>
      </c>
      <c r="AL96" s="40">
        <v>0</v>
      </c>
      <c r="AM96" s="73"/>
    </row>
    <row r="97" spans="2:39" x14ac:dyDescent="0.2">
      <c r="B97" s="9"/>
      <c r="C97" s="25" t="s">
        <v>53</v>
      </c>
      <c r="D97" s="25" t="s">
        <v>10</v>
      </c>
      <c r="E97" s="53">
        <v>0</v>
      </c>
      <c r="F97" s="54">
        <v>0</v>
      </c>
      <c r="G97" s="54">
        <v>0</v>
      </c>
      <c r="H97" s="38">
        <v>0</v>
      </c>
      <c r="I97" s="39">
        <v>0</v>
      </c>
      <c r="J97" s="39">
        <v>0</v>
      </c>
      <c r="K97" s="42">
        <v>1</v>
      </c>
      <c r="L97" s="42">
        <v>0</v>
      </c>
      <c r="M97" s="39">
        <v>0</v>
      </c>
      <c r="N97" s="39">
        <v>0</v>
      </c>
      <c r="O97" s="39">
        <v>0</v>
      </c>
      <c r="P97" s="39">
        <v>0</v>
      </c>
      <c r="Q97" s="39">
        <v>0</v>
      </c>
      <c r="R97" s="39">
        <v>0</v>
      </c>
      <c r="S97" s="39">
        <v>0</v>
      </c>
      <c r="T97" s="39">
        <v>0</v>
      </c>
      <c r="U97" s="39">
        <v>0</v>
      </c>
      <c r="V97" s="39">
        <v>0</v>
      </c>
      <c r="W97" s="39">
        <v>0</v>
      </c>
      <c r="X97" s="39">
        <v>0</v>
      </c>
      <c r="Y97" s="39">
        <v>0</v>
      </c>
      <c r="Z97" s="39">
        <v>0</v>
      </c>
      <c r="AA97" s="39">
        <v>0</v>
      </c>
      <c r="AB97" s="39">
        <v>0</v>
      </c>
      <c r="AC97" s="39">
        <v>0</v>
      </c>
      <c r="AD97" s="39">
        <v>0</v>
      </c>
      <c r="AE97" s="39">
        <v>0</v>
      </c>
      <c r="AF97" s="39">
        <v>0</v>
      </c>
      <c r="AG97" s="39">
        <v>0</v>
      </c>
      <c r="AH97" s="39">
        <v>0</v>
      </c>
      <c r="AI97" s="39">
        <v>0</v>
      </c>
      <c r="AJ97" s="39">
        <v>0</v>
      </c>
      <c r="AK97" s="39">
        <v>0</v>
      </c>
      <c r="AL97" s="40">
        <v>0</v>
      </c>
      <c r="AM97" s="73"/>
    </row>
    <row r="98" spans="2:39" x14ac:dyDescent="0.2">
      <c r="B98" s="9"/>
      <c r="C98" s="25" t="s">
        <v>48</v>
      </c>
      <c r="D98" s="25" t="s">
        <v>10</v>
      </c>
      <c r="E98" s="53">
        <v>0</v>
      </c>
      <c r="F98" s="54">
        <v>0</v>
      </c>
      <c r="G98" s="55">
        <v>0</v>
      </c>
      <c r="H98" s="39">
        <v>0</v>
      </c>
      <c r="I98" s="39">
        <v>-3.5818201869505039E-21</v>
      </c>
      <c r="J98" s="39">
        <v>5.9338727278525518E-21</v>
      </c>
      <c r="K98" s="42">
        <v>0</v>
      </c>
      <c r="L98" s="42">
        <v>1.0000000000000002</v>
      </c>
      <c r="M98" s="39">
        <v>6.0985165637790325E-10</v>
      </c>
      <c r="N98" s="39">
        <v>0</v>
      </c>
      <c r="O98" s="39">
        <v>0</v>
      </c>
      <c r="P98" s="39">
        <v>0</v>
      </c>
      <c r="Q98" s="39">
        <v>2.6469779601696883E-23</v>
      </c>
      <c r="R98" s="39">
        <v>0</v>
      </c>
      <c r="S98" s="39">
        <v>0</v>
      </c>
      <c r="T98" s="39">
        <v>-6.5835764038480617E-21</v>
      </c>
      <c r="U98" s="39">
        <v>0</v>
      </c>
      <c r="V98" s="39">
        <v>0</v>
      </c>
      <c r="W98" s="39">
        <v>0</v>
      </c>
      <c r="X98" s="39">
        <v>0</v>
      </c>
      <c r="Y98" s="39">
        <v>0</v>
      </c>
      <c r="Z98" s="39">
        <v>-4.4318028383202909E-37</v>
      </c>
      <c r="AA98" s="39">
        <v>0</v>
      </c>
      <c r="AB98" s="39">
        <v>0</v>
      </c>
      <c r="AC98" s="39">
        <v>0</v>
      </c>
      <c r="AD98" s="39">
        <v>0</v>
      </c>
      <c r="AE98" s="39">
        <v>0</v>
      </c>
      <c r="AF98" s="39">
        <v>0</v>
      </c>
      <c r="AG98" s="39">
        <v>0</v>
      </c>
      <c r="AH98" s="39">
        <v>0</v>
      </c>
      <c r="AI98" s="39">
        <v>0</v>
      </c>
      <c r="AJ98" s="39">
        <v>0</v>
      </c>
      <c r="AK98" s="39">
        <v>0</v>
      </c>
      <c r="AL98" s="40">
        <v>0</v>
      </c>
      <c r="AM98" s="73"/>
    </row>
    <row r="99" spans="2:39" x14ac:dyDescent="0.2">
      <c r="B99" s="9"/>
      <c r="C99" s="15" t="s">
        <v>54</v>
      </c>
      <c r="D99" s="15" t="s">
        <v>10</v>
      </c>
      <c r="E99" s="53">
        <v>0</v>
      </c>
      <c r="F99" s="54">
        <v>0</v>
      </c>
      <c r="G99" s="55">
        <v>0</v>
      </c>
      <c r="H99" s="39">
        <v>1.4526866442288437E-23</v>
      </c>
      <c r="I99" s="39">
        <v>4.8252101353768695E-28</v>
      </c>
      <c r="J99" s="39">
        <v>-3.618907601532651E-28</v>
      </c>
      <c r="K99" s="39">
        <v>0</v>
      </c>
      <c r="L99" s="39">
        <v>-3.1622497143205852E-23</v>
      </c>
      <c r="M99" s="43">
        <v>1.0000000000000002</v>
      </c>
      <c r="N99" s="43">
        <v>0</v>
      </c>
      <c r="O99" s="43">
        <v>0</v>
      </c>
      <c r="P99" s="39">
        <v>-7.174297675939177E-26</v>
      </c>
      <c r="Q99" s="39">
        <v>0</v>
      </c>
      <c r="R99" s="39">
        <v>0</v>
      </c>
      <c r="S99" s="39">
        <v>0</v>
      </c>
      <c r="T99" s="39">
        <v>-6.6002237533843441E-28</v>
      </c>
      <c r="U99" s="39">
        <v>0</v>
      </c>
      <c r="V99" s="39">
        <v>0</v>
      </c>
      <c r="W99" s="39">
        <v>0</v>
      </c>
      <c r="X99" s="39">
        <v>0</v>
      </c>
      <c r="Y99" s="39">
        <v>0</v>
      </c>
      <c r="Z99" s="39">
        <v>1.2053383629637656E-43</v>
      </c>
      <c r="AA99" s="39">
        <v>0</v>
      </c>
      <c r="AB99" s="39">
        <v>0</v>
      </c>
      <c r="AC99" s="39">
        <v>0</v>
      </c>
      <c r="AD99" s="39">
        <v>0</v>
      </c>
      <c r="AE99" s="39">
        <v>0</v>
      </c>
      <c r="AF99" s="39">
        <v>0</v>
      </c>
      <c r="AG99" s="39">
        <v>0</v>
      </c>
      <c r="AH99" s="39">
        <v>0</v>
      </c>
      <c r="AI99" s="39">
        <v>0</v>
      </c>
      <c r="AJ99" s="39">
        <v>0</v>
      </c>
      <c r="AK99" s="39">
        <v>0</v>
      </c>
      <c r="AL99" s="40">
        <v>0</v>
      </c>
      <c r="AM99" s="73"/>
    </row>
    <row r="100" spans="2:39" x14ac:dyDescent="0.2">
      <c r="B100" s="9"/>
      <c r="C100" s="15" t="s">
        <v>55</v>
      </c>
      <c r="D100" s="15" t="s">
        <v>43</v>
      </c>
      <c r="E100" s="53">
        <v>0</v>
      </c>
      <c r="F100" s="54">
        <v>0</v>
      </c>
      <c r="G100" s="55">
        <v>0</v>
      </c>
      <c r="H100" s="39">
        <v>0</v>
      </c>
      <c r="I100" s="39">
        <v>0</v>
      </c>
      <c r="J100" s="39">
        <v>0</v>
      </c>
      <c r="K100" s="39">
        <v>0</v>
      </c>
      <c r="L100" s="39">
        <v>0</v>
      </c>
      <c r="M100" s="170">
        <v>0</v>
      </c>
      <c r="N100" s="43">
        <v>1</v>
      </c>
      <c r="O100" s="43">
        <v>0</v>
      </c>
      <c r="P100" s="39">
        <v>0</v>
      </c>
      <c r="Q100" s="39">
        <v>0</v>
      </c>
      <c r="R100" s="39">
        <v>0</v>
      </c>
      <c r="S100" s="39">
        <v>0</v>
      </c>
      <c r="T100" s="39">
        <v>0</v>
      </c>
      <c r="U100" s="39">
        <v>0</v>
      </c>
      <c r="V100" s="39">
        <v>0</v>
      </c>
      <c r="W100" s="39">
        <v>0</v>
      </c>
      <c r="X100" s="39">
        <v>0</v>
      </c>
      <c r="Y100" s="39">
        <v>0</v>
      </c>
      <c r="Z100" s="39">
        <v>0</v>
      </c>
      <c r="AA100" s="39">
        <v>0</v>
      </c>
      <c r="AB100" s="39">
        <v>0</v>
      </c>
      <c r="AC100" s="39">
        <v>0</v>
      </c>
      <c r="AD100" s="39">
        <v>0</v>
      </c>
      <c r="AE100" s="39">
        <v>0</v>
      </c>
      <c r="AF100" s="39">
        <v>0</v>
      </c>
      <c r="AG100" s="39">
        <v>0</v>
      </c>
      <c r="AH100" s="39">
        <v>0</v>
      </c>
      <c r="AI100" s="39">
        <v>0</v>
      </c>
      <c r="AJ100" s="39">
        <v>0</v>
      </c>
      <c r="AK100" s="39">
        <v>0</v>
      </c>
      <c r="AL100" s="40">
        <v>0</v>
      </c>
      <c r="AM100" s="73"/>
    </row>
    <row r="101" spans="2:39" x14ac:dyDescent="0.2">
      <c r="B101" s="9"/>
      <c r="C101" s="15" t="s">
        <v>56</v>
      </c>
      <c r="D101" s="15" t="s">
        <v>43</v>
      </c>
      <c r="E101" s="53">
        <v>0</v>
      </c>
      <c r="F101" s="54">
        <v>0</v>
      </c>
      <c r="G101" s="55">
        <v>0</v>
      </c>
      <c r="H101" s="39">
        <v>0</v>
      </c>
      <c r="I101" s="39">
        <v>0</v>
      </c>
      <c r="J101" s="39">
        <v>0</v>
      </c>
      <c r="K101" s="39">
        <v>0</v>
      </c>
      <c r="L101" s="39">
        <v>0</v>
      </c>
      <c r="M101" s="170">
        <v>0</v>
      </c>
      <c r="N101" s="43">
        <v>10</v>
      </c>
      <c r="O101" s="43">
        <v>1</v>
      </c>
      <c r="P101" s="39">
        <v>0</v>
      </c>
      <c r="Q101" s="39">
        <v>0</v>
      </c>
      <c r="R101" s="39">
        <v>0</v>
      </c>
      <c r="S101" s="39">
        <v>0</v>
      </c>
      <c r="T101" s="39">
        <v>0</v>
      </c>
      <c r="U101" s="39">
        <v>0</v>
      </c>
      <c r="V101" s="39">
        <v>0</v>
      </c>
      <c r="W101" s="39">
        <v>0</v>
      </c>
      <c r="X101" s="39">
        <v>0</v>
      </c>
      <c r="Y101" s="39">
        <v>0</v>
      </c>
      <c r="Z101" s="39">
        <v>0</v>
      </c>
      <c r="AA101" s="39">
        <v>0</v>
      </c>
      <c r="AB101" s="39">
        <v>0</v>
      </c>
      <c r="AC101" s="39">
        <v>0</v>
      </c>
      <c r="AD101" s="39">
        <v>0</v>
      </c>
      <c r="AE101" s="39">
        <v>0</v>
      </c>
      <c r="AF101" s="39">
        <v>0</v>
      </c>
      <c r="AG101" s="39">
        <v>0</v>
      </c>
      <c r="AH101" s="39">
        <v>0</v>
      </c>
      <c r="AI101" s="39">
        <v>0</v>
      </c>
      <c r="AJ101" s="39">
        <v>0</v>
      </c>
      <c r="AK101" s="39">
        <v>0</v>
      </c>
      <c r="AL101" s="40">
        <v>0</v>
      </c>
      <c r="AM101" s="73"/>
    </row>
    <row r="102" spans="2:39" x14ac:dyDescent="0.2">
      <c r="B102" s="9"/>
      <c r="C102" s="5" t="s">
        <v>18</v>
      </c>
      <c r="D102" s="5" t="s">
        <v>10</v>
      </c>
      <c r="E102" s="53">
        <v>0</v>
      </c>
      <c r="F102" s="54">
        <v>0</v>
      </c>
      <c r="G102" s="55">
        <v>0</v>
      </c>
      <c r="H102" s="39">
        <v>500</v>
      </c>
      <c r="I102" s="39">
        <v>8.8559129905121149E-20</v>
      </c>
      <c r="J102" s="39">
        <v>-8.8559129905121149E-20</v>
      </c>
      <c r="K102" s="39">
        <v>0</v>
      </c>
      <c r="L102" s="39">
        <v>3.4006705883566524E-15</v>
      </c>
      <c r="M102" s="39">
        <v>6.7904590308305631E-13</v>
      </c>
      <c r="N102" s="39">
        <v>0</v>
      </c>
      <c r="O102" s="39">
        <v>0</v>
      </c>
      <c r="P102" s="39">
        <v>1</v>
      </c>
      <c r="Q102" s="39">
        <v>-8.271806125530273E-22</v>
      </c>
      <c r="R102" s="39">
        <v>0</v>
      </c>
      <c r="S102" s="39">
        <v>0</v>
      </c>
      <c r="T102" s="39">
        <v>1.2514330209591731E-19</v>
      </c>
      <c r="U102" s="39">
        <v>0</v>
      </c>
      <c r="V102" s="39">
        <v>0</v>
      </c>
      <c r="W102" s="39">
        <v>0</v>
      </c>
      <c r="X102" s="39">
        <v>0</v>
      </c>
      <c r="Y102" s="39">
        <v>0</v>
      </c>
      <c r="Z102" s="39">
        <v>1.0587911840678755E-19</v>
      </c>
      <c r="AA102" s="39">
        <v>0</v>
      </c>
      <c r="AB102" s="39">
        <v>0</v>
      </c>
      <c r="AC102" s="39">
        <v>0</v>
      </c>
      <c r="AD102" s="39">
        <v>0</v>
      </c>
      <c r="AE102" s="39">
        <v>0</v>
      </c>
      <c r="AF102" s="39">
        <v>0</v>
      </c>
      <c r="AG102" s="39">
        <v>0</v>
      </c>
      <c r="AH102" s="39">
        <v>0</v>
      </c>
      <c r="AI102" s="39">
        <v>0</v>
      </c>
      <c r="AJ102" s="39">
        <v>0</v>
      </c>
      <c r="AK102" s="39">
        <v>0</v>
      </c>
      <c r="AL102" s="40">
        <v>0</v>
      </c>
      <c r="AM102" s="73"/>
    </row>
    <row r="103" spans="2:39" x14ac:dyDescent="0.2">
      <c r="B103" s="9"/>
      <c r="C103" s="5" t="s">
        <v>19</v>
      </c>
      <c r="D103" s="5" t="s">
        <v>11</v>
      </c>
      <c r="E103" s="53">
        <v>0</v>
      </c>
      <c r="F103" s="54">
        <v>0</v>
      </c>
      <c r="G103" s="55">
        <v>0</v>
      </c>
      <c r="H103" s="39">
        <v>7.7065026476340164E-15</v>
      </c>
      <c r="I103" s="39">
        <v>2.5597739768174291E-19</v>
      </c>
      <c r="J103" s="39">
        <v>-1.9198304826130714E-19</v>
      </c>
      <c r="K103" s="39">
        <v>0</v>
      </c>
      <c r="L103" s="39">
        <v>-1.6775734734470704E-14</v>
      </c>
      <c r="M103" s="39">
        <v>530500000.00000006</v>
      </c>
      <c r="N103" s="39">
        <v>0</v>
      </c>
      <c r="O103" s="39">
        <v>0</v>
      </c>
      <c r="P103" s="39">
        <v>-3.8059649170857334E-17</v>
      </c>
      <c r="Q103" s="39">
        <v>1</v>
      </c>
      <c r="R103" s="39">
        <v>0</v>
      </c>
      <c r="S103" s="39">
        <v>0</v>
      </c>
      <c r="T103" s="39">
        <v>-3.5014187011703944E-19</v>
      </c>
      <c r="U103" s="39">
        <v>0</v>
      </c>
      <c r="V103" s="39">
        <v>0</v>
      </c>
      <c r="W103" s="39">
        <v>0</v>
      </c>
      <c r="X103" s="39">
        <v>0</v>
      </c>
      <c r="Y103" s="39">
        <v>0</v>
      </c>
      <c r="Z103" s="39">
        <v>6.3943200155227759E-35</v>
      </c>
      <c r="AA103" s="39">
        <v>0</v>
      </c>
      <c r="AB103" s="39">
        <v>0</v>
      </c>
      <c r="AC103" s="39">
        <v>0</v>
      </c>
      <c r="AD103" s="39">
        <v>0</v>
      </c>
      <c r="AE103" s="39">
        <v>0</v>
      </c>
      <c r="AF103" s="39">
        <v>0</v>
      </c>
      <c r="AG103" s="39">
        <v>0</v>
      </c>
      <c r="AH103" s="39">
        <v>0</v>
      </c>
      <c r="AI103" s="39">
        <v>0</v>
      </c>
      <c r="AJ103" s="39">
        <v>0</v>
      </c>
      <c r="AK103" s="39">
        <v>0</v>
      </c>
      <c r="AL103" s="40">
        <v>0</v>
      </c>
      <c r="AM103" s="73"/>
    </row>
    <row r="104" spans="2:39" x14ac:dyDescent="0.2">
      <c r="B104" s="9"/>
      <c r="C104" s="5" t="s">
        <v>20</v>
      </c>
      <c r="D104" s="5" t="s">
        <v>11</v>
      </c>
      <c r="E104" s="53">
        <v>0</v>
      </c>
      <c r="F104" s="54">
        <v>0</v>
      </c>
      <c r="G104" s="55">
        <v>0</v>
      </c>
      <c r="H104" s="39">
        <v>7500000</v>
      </c>
      <c r="I104" s="39">
        <v>-2.6552303461615721E-16</v>
      </c>
      <c r="J104" s="39">
        <v>1.3121864153175682E-15</v>
      </c>
      <c r="K104" s="39">
        <v>0</v>
      </c>
      <c r="L104" s="39">
        <v>445000.00000000017</v>
      </c>
      <c r="M104" s="39">
        <v>2.7139417277671318E-4</v>
      </c>
      <c r="N104" s="39">
        <v>0</v>
      </c>
      <c r="O104" s="39">
        <v>0</v>
      </c>
      <c r="P104" s="39">
        <v>15000</v>
      </c>
      <c r="Q104" s="39">
        <v>-6.2865726554029583E-19</v>
      </c>
      <c r="R104" s="39">
        <v>1</v>
      </c>
      <c r="S104" s="39">
        <v>0</v>
      </c>
      <c r="T104" s="39">
        <v>-1.0525419682736276E-15</v>
      </c>
      <c r="U104" s="39">
        <v>0</v>
      </c>
      <c r="V104" s="39">
        <v>0</v>
      </c>
      <c r="W104" s="39">
        <v>0</v>
      </c>
      <c r="X104" s="39">
        <v>0</v>
      </c>
      <c r="Y104" s="39">
        <v>0</v>
      </c>
      <c r="Z104" s="39">
        <v>1.5881867761018131E-15</v>
      </c>
      <c r="AA104" s="39">
        <v>0</v>
      </c>
      <c r="AB104" s="39">
        <v>0</v>
      </c>
      <c r="AC104" s="39">
        <v>0</v>
      </c>
      <c r="AD104" s="39">
        <v>0</v>
      </c>
      <c r="AE104" s="39">
        <v>0</v>
      </c>
      <c r="AF104" s="39">
        <v>0</v>
      </c>
      <c r="AG104" s="39">
        <v>0</v>
      </c>
      <c r="AH104" s="39">
        <v>0</v>
      </c>
      <c r="AI104" s="39">
        <v>0</v>
      </c>
      <c r="AJ104" s="39">
        <v>0</v>
      </c>
      <c r="AK104" s="39">
        <v>0</v>
      </c>
      <c r="AL104" s="40">
        <v>0</v>
      </c>
      <c r="AM104" s="73"/>
    </row>
    <row r="105" spans="2:39" x14ac:dyDescent="0.2">
      <c r="B105" s="9"/>
      <c r="C105" s="5" t="s">
        <v>21</v>
      </c>
      <c r="D105" s="5" t="s">
        <v>11</v>
      </c>
      <c r="E105" s="53">
        <v>0</v>
      </c>
      <c r="F105" s="54">
        <v>0</v>
      </c>
      <c r="G105" s="55">
        <v>0</v>
      </c>
      <c r="H105" s="39">
        <v>-1.7255504911579473E-13</v>
      </c>
      <c r="I105" s="39">
        <v>112.19999999999997</v>
      </c>
      <c r="J105" s="39">
        <v>2.7562415785745886E-34</v>
      </c>
      <c r="K105" s="39">
        <v>0</v>
      </c>
      <c r="L105" s="39">
        <v>8.1349892808452243E-14</v>
      </c>
      <c r="M105" s="39">
        <v>6.8241236161212495E-7</v>
      </c>
      <c r="N105" s="39">
        <v>0</v>
      </c>
      <c r="O105" s="39">
        <v>0</v>
      </c>
      <c r="P105" s="39">
        <v>-3.9396988033061643E-16</v>
      </c>
      <c r="Q105" s="39">
        <v>2.445079233647262E-36</v>
      </c>
      <c r="R105" s="39">
        <v>0</v>
      </c>
      <c r="S105" s="39">
        <v>1</v>
      </c>
      <c r="T105" s="39">
        <v>74.999999999999957</v>
      </c>
      <c r="U105" s="39">
        <v>0</v>
      </c>
      <c r="V105" s="39">
        <v>0</v>
      </c>
      <c r="W105" s="39">
        <v>0</v>
      </c>
      <c r="X105" s="39">
        <v>0</v>
      </c>
      <c r="Y105" s="39">
        <v>0</v>
      </c>
      <c r="Z105" s="39">
        <v>1.5205935469109192E-18</v>
      </c>
      <c r="AA105" s="39">
        <v>0</v>
      </c>
      <c r="AB105" s="39">
        <v>0</v>
      </c>
      <c r="AC105" s="39">
        <v>0</v>
      </c>
      <c r="AD105" s="39">
        <v>0</v>
      </c>
      <c r="AE105" s="39">
        <v>0</v>
      </c>
      <c r="AF105" s="39">
        <v>0</v>
      </c>
      <c r="AG105" s="39">
        <v>0</v>
      </c>
      <c r="AH105" s="39">
        <v>0</v>
      </c>
      <c r="AI105" s="39">
        <v>0</v>
      </c>
      <c r="AJ105" s="39">
        <v>0</v>
      </c>
      <c r="AK105" s="39">
        <v>0</v>
      </c>
      <c r="AL105" s="40">
        <v>0</v>
      </c>
      <c r="AM105" s="73"/>
    </row>
    <row r="106" spans="2:39" x14ac:dyDescent="0.2">
      <c r="B106" s="9"/>
      <c r="C106" s="5" t="s">
        <v>50</v>
      </c>
      <c r="D106" s="5" t="s">
        <v>43</v>
      </c>
      <c r="E106" s="53">
        <v>0</v>
      </c>
      <c r="F106" s="54">
        <v>0</v>
      </c>
      <c r="G106" s="55">
        <v>0</v>
      </c>
      <c r="H106" s="39">
        <v>-1.691716167801909E-15</v>
      </c>
      <c r="I106" s="39">
        <v>1.0999999999999996</v>
      </c>
      <c r="J106" s="39">
        <v>2.7021976260535177E-36</v>
      </c>
      <c r="K106" s="39">
        <v>0</v>
      </c>
      <c r="L106" s="39">
        <v>7.9754796871031594E-16</v>
      </c>
      <c r="M106" s="39">
        <v>6.690317270707106E-9</v>
      </c>
      <c r="N106" s="39">
        <v>0</v>
      </c>
      <c r="O106" s="39">
        <v>0</v>
      </c>
      <c r="P106" s="39">
        <v>-3.8624498071629061E-18</v>
      </c>
      <c r="Q106" s="39">
        <v>2.3971365035757469E-38</v>
      </c>
      <c r="R106" s="39">
        <v>0</v>
      </c>
      <c r="S106" s="39">
        <v>0</v>
      </c>
      <c r="T106" s="39">
        <v>0.99999999999999956</v>
      </c>
      <c r="U106" s="39">
        <v>0</v>
      </c>
      <c r="V106" s="39">
        <v>0</v>
      </c>
      <c r="W106" s="39">
        <v>0</v>
      </c>
      <c r="X106" s="39">
        <v>0</v>
      </c>
      <c r="Y106" s="39">
        <v>0</v>
      </c>
      <c r="Z106" s="39">
        <v>1.4907779871675678E-20</v>
      </c>
      <c r="AA106" s="39">
        <v>0</v>
      </c>
      <c r="AB106" s="39">
        <v>0</v>
      </c>
      <c r="AC106" s="39">
        <v>0</v>
      </c>
      <c r="AD106" s="39">
        <v>0</v>
      </c>
      <c r="AE106" s="39">
        <v>0</v>
      </c>
      <c r="AF106" s="39">
        <v>0</v>
      </c>
      <c r="AG106" s="39">
        <v>0</v>
      </c>
      <c r="AH106" s="39">
        <v>0</v>
      </c>
      <c r="AI106" s="39">
        <v>0</v>
      </c>
      <c r="AJ106" s="39">
        <v>0</v>
      </c>
      <c r="AK106" s="39">
        <v>0</v>
      </c>
      <c r="AL106" s="40">
        <v>0</v>
      </c>
      <c r="AM106" s="73"/>
    </row>
    <row r="107" spans="2:39" x14ac:dyDescent="0.2">
      <c r="B107" s="9"/>
      <c r="C107" s="5" t="s">
        <v>32</v>
      </c>
      <c r="D107" s="5" t="s">
        <v>43</v>
      </c>
      <c r="E107" s="53">
        <v>0</v>
      </c>
      <c r="F107" s="54">
        <v>0</v>
      </c>
      <c r="G107" s="55">
        <v>0</v>
      </c>
      <c r="H107" s="39">
        <v>2500000.0000000009</v>
      </c>
      <c r="I107" s="39">
        <v>2.8008837945004964E-16</v>
      </c>
      <c r="J107" s="39">
        <v>7.0000000000000036</v>
      </c>
      <c r="K107" s="39">
        <v>0</v>
      </c>
      <c r="L107" s="39">
        <v>650000.00000000035</v>
      </c>
      <c r="M107" s="39">
        <v>61170000.000396416</v>
      </c>
      <c r="N107" s="39">
        <v>0</v>
      </c>
      <c r="O107" s="39">
        <v>0</v>
      </c>
      <c r="P107" s="39">
        <v>5000.0000000000027</v>
      </c>
      <c r="Q107" s="39">
        <v>1.306945367833784E-17</v>
      </c>
      <c r="R107" s="39">
        <v>0</v>
      </c>
      <c r="S107" s="39">
        <v>0</v>
      </c>
      <c r="T107" s="39">
        <v>-6.4802284111845252E-16</v>
      </c>
      <c r="U107" s="39">
        <v>1</v>
      </c>
      <c r="V107" s="39">
        <v>0</v>
      </c>
      <c r="W107" s="39">
        <v>0</v>
      </c>
      <c r="X107" s="39">
        <v>0</v>
      </c>
      <c r="Y107" s="39">
        <v>0</v>
      </c>
      <c r="Z107" s="39">
        <v>5.2933321652770189E-16</v>
      </c>
      <c r="AA107" s="39">
        <v>0</v>
      </c>
      <c r="AB107" s="39">
        <v>0</v>
      </c>
      <c r="AC107" s="39">
        <v>0</v>
      </c>
      <c r="AD107" s="39">
        <v>0</v>
      </c>
      <c r="AE107" s="39">
        <v>0</v>
      </c>
      <c r="AF107" s="39">
        <v>0</v>
      </c>
      <c r="AG107" s="39">
        <v>0</v>
      </c>
      <c r="AH107" s="39">
        <v>0</v>
      </c>
      <c r="AI107" s="39">
        <v>0</v>
      </c>
      <c r="AJ107" s="39">
        <v>0</v>
      </c>
      <c r="AK107" s="39">
        <v>0</v>
      </c>
      <c r="AL107" s="40">
        <v>0</v>
      </c>
      <c r="AM107" s="73"/>
    </row>
    <row r="108" spans="2:39" x14ac:dyDescent="0.2">
      <c r="B108" s="9"/>
      <c r="C108" s="5" t="s">
        <v>33</v>
      </c>
      <c r="D108" s="5" t="s">
        <v>43</v>
      </c>
      <c r="E108" s="53">
        <v>0</v>
      </c>
      <c r="F108" s="54">
        <v>0</v>
      </c>
      <c r="G108" s="55">
        <v>0</v>
      </c>
      <c r="H108" s="39">
        <v>1.8190071613057939E-10</v>
      </c>
      <c r="I108" s="39">
        <v>-1.4456173935670558E-16</v>
      </c>
      <c r="J108" s="39">
        <v>3.3881317890172023E-16</v>
      </c>
      <c r="K108" s="39">
        <v>0</v>
      </c>
      <c r="L108" s="39">
        <v>100000.00000000003</v>
      </c>
      <c r="M108" s="39">
        <v>6.0988638316283456E-5</v>
      </c>
      <c r="N108" s="39">
        <v>0</v>
      </c>
      <c r="O108" s="39">
        <v>0</v>
      </c>
      <c r="P108" s="39">
        <v>3.5527486365074767E-13</v>
      </c>
      <c r="Q108" s="39">
        <v>2.6469779601696886E-18</v>
      </c>
      <c r="R108" s="39">
        <v>0</v>
      </c>
      <c r="S108" s="39">
        <v>0</v>
      </c>
      <c r="T108" s="39">
        <v>-3.3881317890172009E-16</v>
      </c>
      <c r="U108" s="39">
        <v>0</v>
      </c>
      <c r="V108" s="39">
        <v>1</v>
      </c>
      <c r="W108" s="39">
        <v>0</v>
      </c>
      <c r="X108" s="39">
        <v>0</v>
      </c>
      <c r="Y108" s="39">
        <v>0</v>
      </c>
      <c r="Z108" s="39">
        <v>0</v>
      </c>
      <c r="AA108" s="39">
        <v>0</v>
      </c>
      <c r="AB108" s="39">
        <v>0</v>
      </c>
      <c r="AC108" s="39">
        <v>0</v>
      </c>
      <c r="AD108" s="39">
        <v>0</v>
      </c>
      <c r="AE108" s="39">
        <v>0</v>
      </c>
      <c r="AF108" s="39">
        <v>0</v>
      </c>
      <c r="AG108" s="39">
        <v>0</v>
      </c>
      <c r="AH108" s="39">
        <v>0</v>
      </c>
      <c r="AI108" s="39">
        <v>0</v>
      </c>
      <c r="AJ108" s="39">
        <v>0</v>
      </c>
      <c r="AK108" s="39">
        <v>0</v>
      </c>
      <c r="AL108" s="40">
        <v>0</v>
      </c>
      <c r="AM108" s="73"/>
    </row>
    <row r="109" spans="2:39" x14ac:dyDescent="0.2">
      <c r="B109" s="9"/>
      <c r="C109" s="5" t="s">
        <v>34</v>
      </c>
      <c r="D109" s="5" t="s">
        <v>43</v>
      </c>
      <c r="E109" s="53">
        <v>0</v>
      </c>
      <c r="F109" s="54">
        <v>0</v>
      </c>
      <c r="G109" s="55">
        <v>0</v>
      </c>
      <c r="H109" s="39">
        <v>200000.00000000064</v>
      </c>
      <c r="I109" s="39">
        <v>2.6300000000000008</v>
      </c>
      <c r="J109" s="39">
        <v>4</v>
      </c>
      <c r="K109" s="39">
        <v>0</v>
      </c>
      <c r="L109" s="39">
        <v>1000.0000000000341</v>
      </c>
      <c r="M109" s="39">
        <v>200000.00000062521</v>
      </c>
      <c r="N109" s="39">
        <v>0</v>
      </c>
      <c r="O109" s="39">
        <v>0</v>
      </c>
      <c r="P109" s="39">
        <v>400.00000000000131</v>
      </c>
      <c r="Q109" s="39">
        <v>-3.0440246541951428E-19</v>
      </c>
      <c r="R109" s="39">
        <v>0</v>
      </c>
      <c r="S109" s="39">
        <v>0</v>
      </c>
      <c r="T109" s="39">
        <v>8.8479012635239415E-16</v>
      </c>
      <c r="U109" s="39">
        <v>0</v>
      </c>
      <c r="V109" s="39">
        <v>0</v>
      </c>
      <c r="W109" s="39">
        <v>1</v>
      </c>
      <c r="X109" s="39">
        <v>0</v>
      </c>
      <c r="Y109" s="39">
        <v>0</v>
      </c>
      <c r="Z109" s="39">
        <v>4.2351647362715159E-17</v>
      </c>
      <c r="AA109" s="39">
        <v>0</v>
      </c>
      <c r="AB109" s="39">
        <v>0</v>
      </c>
      <c r="AC109" s="39">
        <v>0</v>
      </c>
      <c r="AD109" s="39">
        <v>0</v>
      </c>
      <c r="AE109" s="39">
        <v>0</v>
      </c>
      <c r="AF109" s="39">
        <v>0</v>
      </c>
      <c r="AG109" s="39">
        <v>0</v>
      </c>
      <c r="AH109" s="39">
        <v>0</v>
      </c>
      <c r="AI109" s="39">
        <v>0</v>
      </c>
      <c r="AJ109" s="39">
        <v>0</v>
      </c>
      <c r="AK109" s="39">
        <v>0</v>
      </c>
      <c r="AL109" s="40">
        <v>0</v>
      </c>
      <c r="AM109" s="73"/>
    </row>
    <row r="110" spans="2:39" x14ac:dyDescent="0.2">
      <c r="B110" s="9"/>
      <c r="C110" s="5" t="s">
        <v>35</v>
      </c>
      <c r="D110" s="5" t="s">
        <v>43</v>
      </c>
      <c r="E110" s="53">
        <v>0</v>
      </c>
      <c r="F110" s="54">
        <v>0</v>
      </c>
      <c r="G110" s="55">
        <v>0</v>
      </c>
      <c r="H110" s="39">
        <v>-1.5379237889108271E-14</v>
      </c>
      <c r="I110" s="39">
        <v>10</v>
      </c>
      <c r="J110" s="39">
        <v>2.4565432964122901E-35</v>
      </c>
      <c r="K110" s="39">
        <v>0</v>
      </c>
      <c r="L110" s="39">
        <v>7.2504360791846944E-15</v>
      </c>
      <c r="M110" s="39">
        <v>6.0821066097337361E-8</v>
      </c>
      <c r="N110" s="39">
        <v>0</v>
      </c>
      <c r="O110" s="39">
        <v>0</v>
      </c>
      <c r="P110" s="39">
        <v>-3.5113180065117343E-17</v>
      </c>
      <c r="Q110" s="39">
        <v>2.1792150032506801E-37</v>
      </c>
      <c r="R110" s="39">
        <v>0</v>
      </c>
      <c r="S110" s="39">
        <v>0</v>
      </c>
      <c r="T110" s="39">
        <v>-4.9130865928245803E-35</v>
      </c>
      <c r="U110" s="39">
        <v>0</v>
      </c>
      <c r="V110" s="39">
        <v>0</v>
      </c>
      <c r="W110" s="39">
        <v>0</v>
      </c>
      <c r="X110" s="39">
        <v>1</v>
      </c>
      <c r="Y110" s="39">
        <v>0</v>
      </c>
      <c r="Z110" s="39">
        <v>1.3552527156068803E-19</v>
      </c>
      <c r="AA110" s="39">
        <v>0</v>
      </c>
      <c r="AB110" s="39">
        <v>0</v>
      </c>
      <c r="AC110" s="39">
        <v>0</v>
      </c>
      <c r="AD110" s="39">
        <v>0</v>
      </c>
      <c r="AE110" s="39">
        <v>0</v>
      </c>
      <c r="AF110" s="39">
        <v>0</v>
      </c>
      <c r="AG110" s="39">
        <v>0</v>
      </c>
      <c r="AH110" s="39">
        <v>0</v>
      </c>
      <c r="AI110" s="39">
        <v>0</v>
      </c>
      <c r="AJ110" s="39">
        <v>0</v>
      </c>
      <c r="AK110" s="39">
        <v>0</v>
      </c>
      <c r="AL110" s="40">
        <v>0</v>
      </c>
      <c r="AM110" s="73"/>
    </row>
    <row r="111" spans="2:39" x14ac:dyDescent="0.2">
      <c r="B111" s="9"/>
      <c r="C111" s="5" t="s">
        <v>36</v>
      </c>
      <c r="D111" s="5" t="s">
        <v>43</v>
      </c>
      <c r="E111" s="53">
        <v>0</v>
      </c>
      <c r="F111" s="54">
        <v>0</v>
      </c>
      <c r="G111" s="55">
        <v>0</v>
      </c>
      <c r="H111" s="39">
        <v>0</v>
      </c>
      <c r="I111" s="39">
        <v>0</v>
      </c>
      <c r="J111" s="39">
        <v>0</v>
      </c>
      <c r="K111" s="39">
        <v>0</v>
      </c>
      <c r="L111" s="39">
        <v>0</v>
      </c>
      <c r="M111" s="39">
        <v>0</v>
      </c>
      <c r="N111" s="39">
        <v>0</v>
      </c>
      <c r="O111" s="39">
        <v>0</v>
      </c>
      <c r="P111" s="39">
        <v>0</v>
      </c>
      <c r="Q111" s="39">
        <v>0</v>
      </c>
      <c r="R111" s="39">
        <v>0</v>
      </c>
      <c r="S111" s="39">
        <v>0</v>
      </c>
      <c r="T111" s="39">
        <v>0</v>
      </c>
      <c r="U111" s="39">
        <v>0</v>
      </c>
      <c r="V111" s="39">
        <v>0</v>
      </c>
      <c r="W111" s="39">
        <v>0</v>
      </c>
      <c r="X111" s="39">
        <v>0</v>
      </c>
      <c r="Y111" s="39">
        <v>1</v>
      </c>
      <c r="Z111" s="39">
        <v>0</v>
      </c>
      <c r="AA111" s="39">
        <v>0</v>
      </c>
      <c r="AB111" s="39">
        <v>0</v>
      </c>
      <c r="AC111" s="39">
        <v>0</v>
      </c>
      <c r="AD111" s="39">
        <v>0</v>
      </c>
      <c r="AE111" s="39">
        <v>0</v>
      </c>
      <c r="AF111" s="39">
        <v>0</v>
      </c>
      <c r="AG111" s="39">
        <v>0</v>
      </c>
      <c r="AH111" s="39">
        <v>0</v>
      </c>
      <c r="AI111" s="39">
        <v>0</v>
      </c>
      <c r="AJ111" s="39">
        <v>0</v>
      </c>
      <c r="AK111" s="39">
        <v>0</v>
      </c>
      <c r="AL111" s="40">
        <v>0</v>
      </c>
      <c r="AM111" s="73"/>
    </row>
    <row r="112" spans="2:39" x14ac:dyDescent="0.2">
      <c r="B112" s="9"/>
      <c r="C112" s="5" t="s">
        <v>37</v>
      </c>
      <c r="D112" s="5" t="s">
        <v>43</v>
      </c>
      <c r="E112" s="53">
        <v>0</v>
      </c>
      <c r="F112" s="54">
        <v>0</v>
      </c>
      <c r="G112" s="55">
        <v>0</v>
      </c>
      <c r="H112" s="39">
        <v>9.0950358065289695E-11</v>
      </c>
      <c r="I112" s="39">
        <v>-7.2280869678352792E-17</v>
      </c>
      <c r="J112" s="39">
        <v>1.6940658945086012E-16</v>
      </c>
      <c r="K112" s="39">
        <v>0</v>
      </c>
      <c r="L112" s="39">
        <v>50000.000000000015</v>
      </c>
      <c r="M112" s="39">
        <v>3.0494319158141728E-5</v>
      </c>
      <c r="N112" s="39">
        <v>0</v>
      </c>
      <c r="O112" s="39">
        <v>0</v>
      </c>
      <c r="P112" s="39">
        <v>1.7763743182537383E-13</v>
      </c>
      <c r="Q112" s="39">
        <v>1.3234889800848443E-18</v>
      </c>
      <c r="R112" s="39">
        <v>0</v>
      </c>
      <c r="S112" s="39">
        <v>0</v>
      </c>
      <c r="T112" s="39">
        <v>-1.6940658945086004E-16</v>
      </c>
      <c r="U112" s="39">
        <v>0</v>
      </c>
      <c r="V112" s="39">
        <v>0</v>
      </c>
      <c r="W112" s="39">
        <v>0</v>
      </c>
      <c r="X112" s="39">
        <v>0</v>
      </c>
      <c r="Y112" s="39">
        <v>0</v>
      </c>
      <c r="Z112" s="39">
        <v>1</v>
      </c>
      <c r="AA112" s="39">
        <v>0</v>
      </c>
      <c r="AB112" s="39">
        <v>0</v>
      </c>
      <c r="AC112" s="39">
        <v>0</v>
      </c>
      <c r="AD112" s="39">
        <v>0</v>
      </c>
      <c r="AE112" s="39">
        <v>0</v>
      </c>
      <c r="AF112" s="39">
        <v>0</v>
      </c>
      <c r="AG112" s="39">
        <v>0</v>
      </c>
      <c r="AH112" s="39">
        <v>0</v>
      </c>
      <c r="AI112" s="39">
        <v>0</v>
      </c>
      <c r="AJ112" s="39">
        <v>0</v>
      </c>
      <c r="AK112" s="39">
        <v>0</v>
      </c>
      <c r="AL112" s="40">
        <v>0</v>
      </c>
      <c r="AM112" s="73"/>
    </row>
    <row r="113" spans="2:39" x14ac:dyDescent="0.2">
      <c r="B113" s="9"/>
      <c r="C113" s="5" t="s">
        <v>38</v>
      </c>
      <c r="D113" s="5" t="s">
        <v>43</v>
      </c>
      <c r="E113" s="53">
        <v>0</v>
      </c>
      <c r="F113" s="54">
        <v>0</v>
      </c>
      <c r="G113" s="55">
        <v>0</v>
      </c>
      <c r="H113" s="39">
        <v>1.8189929181967022E-12</v>
      </c>
      <c r="I113" s="39">
        <v>-4.1763554665659946E-18</v>
      </c>
      <c r="J113" s="39">
        <v>2.981555974335142E-19</v>
      </c>
      <c r="K113" s="39">
        <v>0</v>
      </c>
      <c r="L113" s="39">
        <v>600.00000000000023</v>
      </c>
      <c r="M113" s="39">
        <v>3.659290899117501E-7</v>
      </c>
      <c r="N113" s="39">
        <v>0</v>
      </c>
      <c r="O113" s="39">
        <v>0</v>
      </c>
      <c r="P113" s="39">
        <v>1.776363868701942E-15</v>
      </c>
      <c r="Q113" s="39">
        <v>1.5881867761018134E-20</v>
      </c>
      <c r="R113" s="39">
        <v>0</v>
      </c>
      <c r="S113" s="39">
        <v>0</v>
      </c>
      <c r="T113" s="39">
        <v>-3.7676025493871271E-18</v>
      </c>
      <c r="U113" s="39">
        <v>0</v>
      </c>
      <c r="V113" s="39">
        <v>0</v>
      </c>
      <c r="W113" s="39">
        <v>0</v>
      </c>
      <c r="X113" s="39">
        <v>0</v>
      </c>
      <c r="Y113" s="39">
        <v>0</v>
      </c>
      <c r="Z113" s="39">
        <v>3.8518568354029762E-34</v>
      </c>
      <c r="AA113" s="39">
        <v>1</v>
      </c>
      <c r="AB113" s="39">
        <v>0</v>
      </c>
      <c r="AC113" s="39">
        <v>0</v>
      </c>
      <c r="AD113" s="39">
        <v>0</v>
      </c>
      <c r="AE113" s="39">
        <v>0</v>
      </c>
      <c r="AF113" s="39">
        <v>0</v>
      </c>
      <c r="AG113" s="39">
        <v>0</v>
      </c>
      <c r="AH113" s="39">
        <v>0</v>
      </c>
      <c r="AI113" s="39">
        <v>0</v>
      </c>
      <c r="AJ113" s="39">
        <v>0</v>
      </c>
      <c r="AK113" s="39">
        <v>0</v>
      </c>
      <c r="AL113" s="40">
        <v>0</v>
      </c>
      <c r="AM113" s="73"/>
    </row>
    <row r="114" spans="2:39" x14ac:dyDescent="0.2">
      <c r="B114" s="9"/>
      <c r="C114" s="5" t="s">
        <v>39</v>
      </c>
      <c r="D114" s="5" t="s">
        <v>43</v>
      </c>
      <c r="E114" s="53">
        <v>0</v>
      </c>
      <c r="F114" s="54">
        <v>0</v>
      </c>
      <c r="G114" s="55">
        <v>0</v>
      </c>
      <c r="H114" s="39">
        <v>-3.1878919235845088E-17</v>
      </c>
      <c r="I114" s="39">
        <v>-1.4705499299164772E-22</v>
      </c>
      <c r="J114" s="39">
        <v>2.350988701644575E-38</v>
      </c>
      <c r="K114" s="39">
        <v>0</v>
      </c>
      <c r="L114" s="39">
        <v>0</v>
      </c>
      <c r="M114" s="39">
        <v>200000.00000000003</v>
      </c>
      <c r="N114" s="39">
        <v>0</v>
      </c>
      <c r="O114" s="39">
        <v>0</v>
      </c>
      <c r="P114" s="39">
        <v>4.4662378776860268E-20</v>
      </c>
      <c r="Q114" s="39">
        <v>-1.0233538679125118E-60</v>
      </c>
      <c r="R114" s="39">
        <v>0</v>
      </c>
      <c r="S114" s="39">
        <v>-1.6543612251060553E-24</v>
      </c>
      <c r="T114" s="39">
        <v>-2.6743783179605062E-22</v>
      </c>
      <c r="U114" s="39">
        <v>0</v>
      </c>
      <c r="V114" s="39">
        <v>0</v>
      </c>
      <c r="W114" s="39">
        <v>0</v>
      </c>
      <c r="X114" s="39">
        <v>0</v>
      </c>
      <c r="Y114" s="39">
        <v>0</v>
      </c>
      <c r="Z114" s="39">
        <v>-5.333410858021653E-42</v>
      </c>
      <c r="AA114" s="39">
        <v>0</v>
      </c>
      <c r="AB114" s="39">
        <v>1</v>
      </c>
      <c r="AC114" s="39">
        <v>0</v>
      </c>
      <c r="AD114" s="39">
        <v>0</v>
      </c>
      <c r="AE114" s="39">
        <v>0</v>
      </c>
      <c r="AF114" s="39">
        <v>0</v>
      </c>
      <c r="AG114" s="39">
        <v>0</v>
      </c>
      <c r="AH114" s="39">
        <v>0</v>
      </c>
      <c r="AI114" s="39">
        <v>0</v>
      </c>
      <c r="AJ114" s="39">
        <v>0</v>
      </c>
      <c r="AK114" s="39">
        <v>0</v>
      </c>
      <c r="AL114" s="40">
        <v>0</v>
      </c>
      <c r="AM114" s="73"/>
    </row>
    <row r="115" spans="2:39" x14ac:dyDescent="0.2">
      <c r="B115" s="9"/>
      <c r="C115" s="5" t="s">
        <v>40</v>
      </c>
      <c r="D115" s="5" t="s">
        <v>43</v>
      </c>
      <c r="E115" s="53">
        <v>0</v>
      </c>
      <c r="F115" s="54">
        <v>0</v>
      </c>
      <c r="G115" s="55">
        <v>0</v>
      </c>
      <c r="H115" s="39">
        <v>500000</v>
      </c>
      <c r="I115" s="39">
        <v>-5.7824317450280212E-17</v>
      </c>
      <c r="J115" s="39">
        <v>1.355252715606881E-16</v>
      </c>
      <c r="K115" s="39">
        <v>0</v>
      </c>
      <c r="L115" s="39">
        <v>40000.000000000015</v>
      </c>
      <c r="M115" s="39">
        <v>1470000.0000243948</v>
      </c>
      <c r="N115" s="39">
        <v>0</v>
      </c>
      <c r="O115" s="39">
        <v>0</v>
      </c>
      <c r="P115" s="39">
        <v>1000</v>
      </c>
      <c r="Q115" s="39">
        <v>2.3161057151484809E-19</v>
      </c>
      <c r="R115" s="39">
        <v>0</v>
      </c>
      <c r="S115" s="39">
        <v>0</v>
      </c>
      <c r="T115" s="39">
        <v>-1.3552645901723144E-16</v>
      </c>
      <c r="U115" s="39">
        <v>0</v>
      </c>
      <c r="V115" s="39">
        <v>0</v>
      </c>
      <c r="W115" s="39">
        <v>0</v>
      </c>
      <c r="X115" s="39">
        <v>0</v>
      </c>
      <c r="Y115" s="39">
        <v>0</v>
      </c>
      <c r="Z115" s="39">
        <v>1.0587911840678754E-16</v>
      </c>
      <c r="AA115" s="39">
        <v>0</v>
      </c>
      <c r="AB115" s="39">
        <v>0</v>
      </c>
      <c r="AC115" s="39">
        <v>1</v>
      </c>
      <c r="AD115" s="39">
        <v>0</v>
      </c>
      <c r="AE115" s="39">
        <v>0</v>
      </c>
      <c r="AF115" s="39">
        <v>0</v>
      </c>
      <c r="AG115" s="39">
        <v>0</v>
      </c>
      <c r="AH115" s="39">
        <v>0</v>
      </c>
      <c r="AI115" s="39">
        <v>0</v>
      </c>
      <c r="AJ115" s="39">
        <v>0</v>
      </c>
      <c r="AK115" s="39">
        <v>0</v>
      </c>
      <c r="AL115" s="40">
        <v>0</v>
      </c>
      <c r="AM115" s="73"/>
    </row>
    <row r="116" spans="2:39" x14ac:dyDescent="0.2">
      <c r="B116" s="9"/>
      <c r="C116" s="5" t="s">
        <v>41</v>
      </c>
      <c r="D116" s="5" t="s">
        <v>43</v>
      </c>
      <c r="E116" s="53">
        <v>0</v>
      </c>
      <c r="F116" s="54">
        <v>0</v>
      </c>
      <c r="G116" s="55">
        <v>0</v>
      </c>
      <c r="H116" s="39">
        <v>100000.00000000001</v>
      </c>
      <c r="I116" s="39">
        <v>4.3819115003174144E-17</v>
      </c>
      <c r="J116" s="39">
        <v>1.3877787807814469E-17</v>
      </c>
      <c r="K116" s="39">
        <v>0</v>
      </c>
      <c r="L116" s="39">
        <v>3.3878803261109848E-12</v>
      </c>
      <c r="M116" s="39">
        <v>-3.0917565656072666E-11</v>
      </c>
      <c r="N116" s="39">
        <v>0</v>
      </c>
      <c r="O116" s="39">
        <v>0</v>
      </c>
      <c r="P116" s="39">
        <v>200.00000000000003</v>
      </c>
      <c r="Q116" s="39">
        <v>-1.6543612251060546E-19</v>
      </c>
      <c r="R116" s="39">
        <v>0</v>
      </c>
      <c r="S116" s="39">
        <v>0</v>
      </c>
      <c r="T116" s="39">
        <v>2.7755575615628895E-17</v>
      </c>
      <c r="U116" s="39">
        <v>0</v>
      </c>
      <c r="V116" s="39">
        <v>0</v>
      </c>
      <c r="W116" s="39">
        <v>0</v>
      </c>
      <c r="X116" s="39">
        <v>0</v>
      </c>
      <c r="Y116" s="39">
        <v>0</v>
      </c>
      <c r="Z116" s="39">
        <v>2.1175823681357512E-17</v>
      </c>
      <c r="AA116" s="39">
        <v>0</v>
      </c>
      <c r="AB116" s="39">
        <v>0</v>
      </c>
      <c r="AC116" s="39">
        <v>0</v>
      </c>
      <c r="AD116" s="39">
        <v>1</v>
      </c>
      <c r="AE116" s="39">
        <v>0</v>
      </c>
      <c r="AF116" s="39">
        <v>0</v>
      </c>
      <c r="AG116" s="39">
        <v>0</v>
      </c>
      <c r="AH116" s="39">
        <v>0</v>
      </c>
      <c r="AI116" s="39">
        <v>0</v>
      </c>
      <c r="AJ116" s="39">
        <v>0</v>
      </c>
      <c r="AK116" s="39">
        <v>0</v>
      </c>
      <c r="AL116" s="40">
        <v>0</v>
      </c>
      <c r="AM116" s="73"/>
    </row>
    <row r="117" spans="2:39" x14ac:dyDescent="0.2">
      <c r="B117" s="9"/>
      <c r="C117" s="5" t="s">
        <v>42</v>
      </c>
      <c r="D117" s="5" t="s">
        <v>43</v>
      </c>
      <c r="E117" s="53">
        <v>0</v>
      </c>
      <c r="F117" s="54">
        <v>0</v>
      </c>
      <c r="G117" s="55">
        <v>0</v>
      </c>
      <c r="H117" s="39">
        <v>3.2526065174564502E-14</v>
      </c>
      <c r="I117" s="39">
        <v>-3.4333141279972892E-18</v>
      </c>
      <c r="J117" s="39">
        <v>1.6940658945086013E-18</v>
      </c>
      <c r="K117" s="39">
        <v>0</v>
      </c>
      <c r="L117" s="39">
        <v>500.00000000000017</v>
      </c>
      <c r="M117" s="39">
        <v>3.0494965987179132E-7</v>
      </c>
      <c r="N117" s="39">
        <v>0</v>
      </c>
      <c r="O117" s="39">
        <v>0</v>
      </c>
      <c r="P117" s="39">
        <v>6.5052130349129058E-17</v>
      </c>
      <c r="Q117" s="39">
        <v>2.6787416956917254E-20</v>
      </c>
      <c r="R117" s="39">
        <v>0</v>
      </c>
      <c r="S117" s="39">
        <v>0</v>
      </c>
      <c r="T117" s="39">
        <v>-3.4287893704854078E-18</v>
      </c>
      <c r="U117" s="39">
        <v>0</v>
      </c>
      <c r="V117" s="39">
        <v>0</v>
      </c>
      <c r="W117" s="39">
        <v>0</v>
      </c>
      <c r="X117" s="39">
        <v>0</v>
      </c>
      <c r="Y117" s="39">
        <v>0</v>
      </c>
      <c r="Z117" s="39">
        <v>-7.8202932252208899E-37</v>
      </c>
      <c r="AA117" s="39">
        <v>0</v>
      </c>
      <c r="AB117" s="39">
        <v>0</v>
      </c>
      <c r="AC117" s="39">
        <v>0</v>
      </c>
      <c r="AD117" s="39">
        <v>0</v>
      </c>
      <c r="AE117" s="39">
        <v>1</v>
      </c>
      <c r="AF117" s="39">
        <v>0</v>
      </c>
      <c r="AG117" s="39">
        <v>0</v>
      </c>
      <c r="AH117" s="39">
        <v>0</v>
      </c>
      <c r="AI117" s="39">
        <v>0</v>
      </c>
      <c r="AJ117" s="39">
        <v>0</v>
      </c>
      <c r="AK117" s="39">
        <v>0</v>
      </c>
      <c r="AL117" s="40">
        <v>0</v>
      </c>
      <c r="AM117" s="73"/>
    </row>
    <row r="118" spans="2:39" x14ac:dyDescent="0.2">
      <c r="B118" s="9"/>
      <c r="C118" s="5" t="s">
        <v>93</v>
      </c>
      <c r="D118" s="5" t="s">
        <v>94</v>
      </c>
      <c r="E118" s="53">
        <v>0</v>
      </c>
      <c r="F118" s="54">
        <v>0</v>
      </c>
      <c r="G118" s="55">
        <v>0</v>
      </c>
      <c r="H118" s="39">
        <v>-8.1314616867961609E-12</v>
      </c>
      <c r="I118" s="39">
        <v>0</v>
      </c>
      <c r="J118" s="39">
        <v>1.0164395367051606E-17</v>
      </c>
      <c r="K118" s="39">
        <v>0</v>
      </c>
      <c r="L118" s="39">
        <v>3000.0000000000005</v>
      </c>
      <c r="M118" s="39">
        <v>169000.00000182961</v>
      </c>
      <c r="N118" s="39">
        <v>0</v>
      </c>
      <c r="O118" s="39">
        <v>0</v>
      </c>
      <c r="P118" s="39">
        <v>-1.6262923373592322E-14</v>
      </c>
      <c r="Q118" s="39">
        <v>7.9409338805090681E-20</v>
      </c>
      <c r="R118" s="39">
        <v>0</v>
      </c>
      <c r="S118" s="39">
        <v>1.0842021724855044E-19</v>
      </c>
      <c r="T118" s="39">
        <v>-1.0164531884164416E-17</v>
      </c>
      <c r="U118" s="39">
        <v>0</v>
      </c>
      <c r="V118" s="39">
        <v>0</v>
      </c>
      <c r="W118" s="39">
        <v>0</v>
      </c>
      <c r="X118" s="39">
        <v>0</v>
      </c>
      <c r="Y118" s="39">
        <v>0</v>
      </c>
      <c r="Z118" s="39">
        <v>-1.7676367953029856E-33</v>
      </c>
      <c r="AA118" s="39">
        <v>0</v>
      </c>
      <c r="AB118" s="39">
        <v>0</v>
      </c>
      <c r="AC118" s="39">
        <v>0</v>
      </c>
      <c r="AD118" s="39">
        <v>0</v>
      </c>
      <c r="AE118" s="39">
        <v>0</v>
      </c>
      <c r="AF118" s="39">
        <v>1</v>
      </c>
      <c r="AG118" s="39">
        <v>0</v>
      </c>
      <c r="AH118" s="39">
        <v>0</v>
      </c>
      <c r="AI118" s="39">
        <v>0</v>
      </c>
      <c r="AJ118" s="39">
        <v>0</v>
      </c>
      <c r="AK118" s="39">
        <v>0</v>
      </c>
      <c r="AL118" s="40">
        <v>0</v>
      </c>
      <c r="AM118" s="73"/>
    </row>
    <row r="119" spans="2:39" x14ac:dyDescent="0.2">
      <c r="B119" s="9"/>
      <c r="C119" s="5" t="s">
        <v>44</v>
      </c>
      <c r="D119" s="5" t="s">
        <v>11</v>
      </c>
      <c r="E119" s="53">
        <v>0</v>
      </c>
      <c r="F119" s="54">
        <v>0</v>
      </c>
      <c r="G119" s="55">
        <v>0</v>
      </c>
      <c r="H119" s="39">
        <v>0</v>
      </c>
      <c r="I119" s="39">
        <v>0</v>
      </c>
      <c r="J119" s="39">
        <v>0</v>
      </c>
      <c r="K119" s="39">
        <v>0</v>
      </c>
      <c r="L119" s="39">
        <v>0</v>
      </c>
      <c r="M119" s="39">
        <v>0</v>
      </c>
      <c r="N119" s="39">
        <v>0</v>
      </c>
      <c r="O119" s="39">
        <v>0</v>
      </c>
      <c r="P119" s="39">
        <v>0</v>
      </c>
      <c r="Q119" s="44">
        <v>0</v>
      </c>
      <c r="R119" s="44">
        <v>0</v>
      </c>
      <c r="S119" s="44">
        <v>0</v>
      </c>
      <c r="T119" s="39">
        <v>0</v>
      </c>
      <c r="U119" s="39">
        <v>0</v>
      </c>
      <c r="V119" s="39">
        <v>0</v>
      </c>
      <c r="W119" s="39">
        <v>0</v>
      </c>
      <c r="X119" s="39">
        <v>0</v>
      </c>
      <c r="Y119" s="39">
        <v>0</v>
      </c>
      <c r="Z119" s="39">
        <v>0</v>
      </c>
      <c r="AA119" s="39">
        <v>0</v>
      </c>
      <c r="AB119" s="39">
        <v>0</v>
      </c>
      <c r="AC119" s="39">
        <v>0</v>
      </c>
      <c r="AD119" s="39">
        <v>0</v>
      </c>
      <c r="AE119" s="39">
        <v>0</v>
      </c>
      <c r="AF119" s="39">
        <v>0</v>
      </c>
      <c r="AG119" s="39">
        <v>1</v>
      </c>
      <c r="AH119" s="39">
        <v>0</v>
      </c>
      <c r="AI119" s="39">
        <v>0</v>
      </c>
      <c r="AJ119" s="39">
        <v>0</v>
      </c>
      <c r="AK119" s="39">
        <v>0</v>
      </c>
      <c r="AL119" s="40">
        <v>0</v>
      </c>
      <c r="AM119" s="73"/>
    </row>
    <row r="120" spans="2:39" x14ac:dyDescent="0.2">
      <c r="B120" s="9"/>
      <c r="C120" s="5" t="s">
        <v>45</v>
      </c>
      <c r="D120" s="5" t="s">
        <v>11</v>
      </c>
      <c r="E120" s="53">
        <v>0</v>
      </c>
      <c r="F120" s="54">
        <v>0</v>
      </c>
      <c r="G120" s="55">
        <v>0</v>
      </c>
      <c r="H120" s="39">
        <v>0</v>
      </c>
      <c r="I120" s="39">
        <v>0</v>
      </c>
      <c r="J120" s="39">
        <v>0</v>
      </c>
      <c r="K120" s="39">
        <v>0</v>
      </c>
      <c r="L120" s="39">
        <v>0</v>
      </c>
      <c r="M120" s="39">
        <v>0</v>
      </c>
      <c r="N120" s="39">
        <v>0</v>
      </c>
      <c r="O120" s="39">
        <v>0</v>
      </c>
      <c r="P120" s="39">
        <v>0</v>
      </c>
      <c r="Q120" s="44">
        <v>0</v>
      </c>
      <c r="R120" s="44">
        <v>0</v>
      </c>
      <c r="S120" s="44">
        <v>0</v>
      </c>
      <c r="T120" s="39">
        <v>0</v>
      </c>
      <c r="U120" s="39">
        <v>0</v>
      </c>
      <c r="V120" s="39">
        <v>0</v>
      </c>
      <c r="W120" s="39">
        <v>0</v>
      </c>
      <c r="X120" s="39">
        <v>0</v>
      </c>
      <c r="Y120" s="39">
        <v>0</v>
      </c>
      <c r="Z120" s="39">
        <v>0</v>
      </c>
      <c r="AA120" s="39">
        <v>0</v>
      </c>
      <c r="AB120" s="39">
        <v>0</v>
      </c>
      <c r="AC120" s="39">
        <v>0</v>
      </c>
      <c r="AD120" s="39">
        <v>0</v>
      </c>
      <c r="AE120" s="39">
        <v>0</v>
      </c>
      <c r="AF120" s="39">
        <v>0</v>
      </c>
      <c r="AG120" s="39">
        <v>0</v>
      </c>
      <c r="AH120" s="39">
        <v>1</v>
      </c>
      <c r="AI120" s="39">
        <v>0</v>
      </c>
      <c r="AJ120" s="39">
        <v>0</v>
      </c>
      <c r="AK120" s="39">
        <v>0</v>
      </c>
      <c r="AL120" s="40">
        <v>0</v>
      </c>
      <c r="AM120" s="73"/>
    </row>
    <row r="121" spans="2:39" x14ac:dyDescent="0.2">
      <c r="B121" s="9"/>
      <c r="C121" s="5" t="s">
        <v>46</v>
      </c>
      <c r="D121" s="5" t="s">
        <v>11</v>
      </c>
      <c r="E121" s="53">
        <v>0</v>
      </c>
      <c r="F121" s="54">
        <v>0</v>
      </c>
      <c r="G121" s="55">
        <v>0</v>
      </c>
      <c r="H121" s="39">
        <v>0</v>
      </c>
      <c r="I121" s="39">
        <v>0</v>
      </c>
      <c r="J121" s="39">
        <v>0</v>
      </c>
      <c r="K121" s="39">
        <v>0</v>
      </c>
      <c r="L121" s="39">
        <v>0</v>
      </c>
      <c r="M121" s="39">
        <v>0</v>
      </c>
      <c r="N121" s="39">
        <v>0</v>
      </c>
      <c r="O121" s="39">
        <v>0</v>
      </c>
      <c r="P121" s="39">
        <v>0</v>
      </c>
      <c r="Q121" s="44">
        <v>0</v>
      </c>
      <c r="R121" s="44">
        <v>0</v>
      </c>
      <c r="S121" s="44">
        <v>0</v>
      </c>
      <c r="T121" s="39">
        <v>0</v>
      </c>
      <c r="U121" s="39">
        <v>0</v>
      </c>
      <c r="V121" s="39">
        <v>0</v>
      </c>
      <c r="W121" s="39">
        <v>0</v>
      </c>
      <c r="X121" s="39">
        <v>0</v>
      </c>
      <c r="Y121" s="39">
        <v>0</v>
      </c>
      <c r="Z121" s="39">
        <v>0</v>
      </c>
      <c r="AA121" s="39">
        <v>0</v>
      </c>
      <c r="AB121" s="39">
        <v>0</v>
      </c>
      <c r="AC121" s="39">
        <v>0</v>
      </c>
      <c r="AD121" s="39">
        <v>0</v>
      </c>
      <c r="AE121" s="39">
        <v>0</v>
      </c>
      <c r="AF121" s="39">
        <v>0</v>
      </c>
      <c r="AG121" s="39">
        <v>0</v>
      </c>
      <c r="AH121" s="39">
        <v>0</v>
      </c>
      <c r="AI121" s="39">
        <v>1</v>
      </c>
      <c r="AJ121" s="39">
        <v>0</v>
      </c>
      <c r="AK121" s="39">
        <v>0</v>
      </c>
      <c r="AL121" s="40">
        <v>0</v>
      </c>
      <c r="AM121" s="73"/>
    </row>
    <row r="122" spans="2:39" x14ac:dyDescent="0.2">
      <c r="B122" s="9"/>
      <c r="C122" s="5" t="s">
        <v>47</v>
      </c>
      <c r="D122" s="5" t="s">
        <v>11</v>
      </c>
      <c r="E122" s="53">
        <v>0</v>
      </c>
      <c r="F122" s="54">
        <v>0</v>
      </c>
      <c r="G122" s="55">
        <v>0</v>
      </c>
      <c r="H122" s="39">
        <v>0</v>
      </c>
      <c r="I122" s="39">
        <v>0</v>
      </c>
      <c r="J122" s="39">
        <v>0</v>
      </c>
      <c r="K122" s="39">
        <v>0</v>
      </c>
      <c r="L122" s="39">
        <v>0</v>
      </c>
      <c r="M122" s="39">
        <v>0</v>
      </c>
      <c r="N122" s="39">
        <v>0</v>
      </c>
      <c r="O122" s="39">
        <v>0</v>
      </c>
      <c r="P122" s="39">
        <v>0</v>
      </c>
      <c r="Q122" s="44">
        <v>0</v>
      </c>
      <c r="R122" s="44">
        <v>0</v>
      </c>
      <c r="S122" s="44">
        <v>0</v>
      </c>
      <c r="T122" s="39">
        <v>0</v>
      </c>
      <c r="U122" s="39">
        <v>0</v>
      </c>
      <c r="V122" s="39">
        <v>0</v>
      </c>
      <c r="W122" s="39">
        <v>0</v>
      </c>
      <c r="X122" s="39">
        <v>0</v>
      </c>
      <c r="Y122" s="39">
        <v>0</v>
      </c>
      <c r="Z122" s="39">
        <v>0</v>
      </c>
      <c r="AA122" s="39">
        <v>0</v>
      </c>
      <c r="AB122" s="39">
        <v>0</v>
      </c>
      <c r="AC122" s="39">
        <v>0</v>
      </c>
      <c r="AD122" s="39">
        <v>0</v>
      </c>
      <c r="AE122" s="39">
        <v>0</v>
      </c>
      <c r="AF122" s="39">
        <v>0</v>
      </c>
      <c r="AG122" s="39">
        <v>0</v>
      </c>
      <c r="AH122" s="39">
        <v>0</v>
      </c>
      <c r="AI122" s="39">
        <v>0</v>
      </c>
      <c r="AJ122" s="39">
        <v>1</v>
      </c>
      <c r="AK122" s="39">
        <v>0</v>
      </c>
      <c r="AL122" s="40">
        <v>0</v>
      </c>
      <c r="AM122" s="73"/>
    </row>
    <row r="123" spans="2:39" x14ac:dyDescent="0.2">
      <c r="B123" s="9"/>
      <c r="C123" s="5" t="s">
        <v>96</v>
      </c>
      <c r="D123" s="5" t="s">
        <v>52</v>
      </c>
      <c r="E123" s="53">
        <v>0</v>
      </c>
      <c r="F123" s="54">
        <v>0</v>
      </c>
      <c r="G123" s="55">
        <v>0</v>
      </c>
      <c r="H123" s="39">
        <v>-7.1631462902831145E-14</v>
      </c>
      <c r="I123" s="39">
        <v>0</v>
      </c>
      <c r="J123" s="39">
        <v>2.7105054312137616E-19</v>
      </c>
      <c r="K123" s="39">
        <v>0</v>
      </c>
      <c r="L123" s="39">
        <v>80.000000000000014</v>
      </c>
      <c r="M123" s="39">
        <v>449400000.00000012</v>
      </c>
      <c r="N123" s="39">
        <v>0</v>
      </c>
      <c r="O123" s="39">
        <v>0</v>
      </c>
      <c r="P123" s="39">
        <v>-1.4326292580566229E-16</v>
      </c>
      <c r="Q123" s="44">
        <v>2.1175823681357512E-21</v>
      </c>
      <c r="R123" s="44">
        <v>0</v>
      </c>
      <c r="S123" s="44">
        <v>0</v>
      </c>
      <c r="T123" s="39">
        <v>-6.3407297210705037E-19</v>
      </c>
      <c r="U123" s="39">
        <v>0</v>
      </c>
      <c r="V123" s="39">
        <v>0</v>
      </c>
      <c r="W123" s="39">
        <v>0</v>
      </c>
      <c r="X123" s="39">
        <v>0</v>
      </c>
      <c r="Y123" s="39">
        <v>0</v>
      </c>
      <c r="Z123" s="39">
        <v>0</v>
      </c>
      <c r="AA123" s="39">
        <v>0</v>
      </c>
      <c r="AB123" s="39">
        <v>0</v>
      </c>
      <c r="AC123" s="39">
        <v>0</v>
      </c>
      <c r="AD123" s="39">
        <v>0</v>
      </c>
      <c r="AE123" s="39">
        <v>0</v>
      </c>
      <c r="AF123" s="39">
        <v>0</v>
      </c>
      <c r="AG123" s="39">
        <v>0</v>
      </c>
      <c r="AH123" s="39">
        <v>0</v>
      </c>
      <c r="AI123" s="39">
        <v>0</v>
      </c>
      <c r="AJ123" s="39">
        <v>0</v>
      </c>
      <c r="AK123" s="39">
        <v>1</v>
      </c>
      <c r="AL123" s="40">
        <v>0</v>
      </c>
      <c r="AM123" s="73"/>
    </row>
    <row r="124" spans="2:39" x14ac:dyDescent="0.2">
      <c r="B124" s="9"/>
      <c r="C124" s="5" t="s">
        <v>51</v>
      </c>
      <c r="D124" s="5" t="s">
        <v>52</v>
      </c>
      <c r="E124" s="56">
        <v>0</v>
      </c>
      <c r="F124" s="57">
        <v>0</v>
      </c>
      <c r="G124" s="58">
        <v>0</v>
      </c>
      <c r="H124" s="45">
        <v>-7.7020585952644773E-15</v>
      </c>
      <c r="I124" s="45">
        <v>4.9000000000000012</v>
      </c>
      <c r="J124" s="45">
        <v>0</v>
      </c>
      <c r="K124" s="45">
        <v>0</v>
      </c>
      <c r="L124" s="45">
        <v>0</v>
      </c>
      <c r="M124" s="45">
        <v>140580000.00000003</v>
      </c>
      <c r="N124" s="45">
        <v>0</v>
      </c>
      <c r="O124" s="45">
        <v>0</v>
      </c>
      <c r="P124" s="45">
        <v>-1.540411719052896E-17</v>
      </c>
      <c r="Q124" s="45">
        <v>1.2741987093500364E-38</v>
      </c>
      <c r="R124" s="45">
        <v>0</v>
      </c>
      <c r="S124" s="45">
        <v>0</v>
      </c>
      <c r="T124" s="45">
        <v>-1.1355961964131309E-19</v>
      </c>
      <c r="U124" s="45">
        <v>0</v>
      </c>
      <c r="V124" s="45">
        <v>0</v>
      </c>
      <c r="W124" s="45">
        <v>0</v>
      </c>
      <c r="X124" s="45">
        <v>0</v>
      </c>
      <c r="Y124" s="45">
        <v>0</v>
      </c>
      <c r="Z124" s="45">
        <v>6.6407383064737163E-20</v>
      </c>
      <c r="AA124" s="45">
        <v>0</v>
      </c>
      <c r="AB124" s="45">
        <v>0</v>
      </c>
      <c r="AC124" s="45">
        <v>0</v>
      </c>
      <c r="AD124" s="45">
        <v>0</v>
      </c>
      <c r="AE124" s="45">
        <v>0</v>
      </c>
      <c r="AF124" s="45">
        <v>0</v>
      </c>
      <c r="AG124" s="45">
        <v>0</v>
      </c>
      <c r="AH124" s="45">
        <v>0</v>
      </c>
      <c r="AI124" s="45">
        <v>0</v>
      </c>
      <c r="AJ124" s="45">
        <v>0</v>
      </c>
      <c r="AK124" s="45">
        <v>0</v>
      </c>
      <c r="AL124" s="46">
        <v>1</v>
      </c>
      <c r="AM124" s="73"/>
    </row>
    <row r="125" spans="2:39" x14ac:dyDescent="0.2">
      <c r="B125" s="9"/>
      <c r="AM125" s="73"/>
    </row>
    <row r="126" spans="2:39" x14ac:dyDescent="0.2">
      <c r="B126" s="9"/>
      <c r="AM126" s="73"/>
    </row>
    <row r="127" spans="2:39" x14ac:dyDescent="0.2">
      <c r="B127" s="4" t="s">
        <v>88</v>
      </c>
      <c r="C127" s="6" t="s">
        <v>58</v>
      </c>
      <c r="D127" s="6" t="s">
        <v>10</v>
      </c>
      <c r="AM127" s="73"/>
    </row>
    <row r="128" spans="2:39" x14ac:dyDescent="0.2">
      <c r="B128" s="9"/>
      <c r="C128" s="1" t="s">
        <v>59</v>
      </c>
      <c r="D128" s="1" t="s">
        <v>43</v>
      </c>
      <c r="E128" s="147">
        <f t="array" ref="E128:AL135">MMULT(E61:AL68,E91:AL124)</f>
        <v>0</v>
      </c>
      <c r="F128" s="148">
        <v>0</v>
      </c>
      <c r="G128" s="149">
        <v>0</v>
      </c>
      <c r="H128" s="18">
        <v>11157000.000000009</v>
      </c>
      <c r="I128" s="18">
        <v>47.321500000000015</v>
      </c>
      <c r="J128" s="18">
        <v>65.490000000000009</v>
      </c>
      <c r="K128" s="18">
        <v>0</v>
      </c>
      <c r="L128" s="18">
        <v>3022753.0000000014</v>
      </c>
      <c r="M128" s="18">
        <v>266533000.00184381</v>
      </c>
      <c r="N128" s="18">
        <v>1550</v>
      </c>
      <c r="O128" s="18">
        <v>25</v>
      </c>
      <c r="P128" s="18">
        <v>22314.000000000018</v>
      </c>
      <c r="Q128" s="18">
        <v>6.2050326581586621E-17</v>
      </c>
      <c r="R128" s="18">
        <v>0</v>
      </c>
      <c r="S128" s="18">
        <v>3.2526058226247989E-17</v>
      </c>
      <c r="T128" s="18">
        <v>3.5800000000000027</v>
      </c>
      <c r="U128" s="18">
        <v>2.4700000000000002</v>
      </c>
      <c r="V128" s="18">
        <v>1.6</v>
      </c>
      <c r="W128" s="18">
        <v>12.05</v>
      </c>
      <c r="X128" s="18">
        <v>1.1299999999999999</v>
      </c>
      <c r="Y128" s="18">
        <v>5.68</v>
      </c>
      <c r="Z128" s="18">
        <v>3.6100000000000021</v>
      </c>
      <c r="AA128" s="18">
        <v>3.3</v>
      </c>
      <c r="AB128" s="18">
        <v>4.2</v>
      </c>
      <c r="AC128" s="18">
        <v>3.61</v>
      </c>
      <c r="AD128" s="18">
        <v>7.67</v>
      </c>
      <c r="AE128" s="18">
        <v>36.630000000000003</v>
      </c>
      <c r="AF128" s="18">
        <v>300</v>
      </c>
      <c r="AG128" s="18">
        <v>8.0000000000000002E-3</v>
      </c>
      <c r="AH128" s="18">
        <v>1.05</v>
      </c>
      <c r="AI128" s="18">
        <v>0.45</v>
      </c>
      <c r="AJ128" s="18">
        <v>0.37</v>
      </c>
      <c r="AK128" s="18">
        <v>0.1</v>
      </c>
      <c r="AL128" s="19">
        <v>0.08</v>
      </c>
      <c r="AM128" s="73"/>
    </row>
    <row r="129" spans="2:39" x14ac:dyDescent="0.2">
      <c r="B129" s="9"/>
      <c r="C129" s="1" t="s">
        <v>60</v>
      </c>
      <c r="D129" s="1" t="s">
        <v>43</v>
      </c>
      <c r="E129" s="150">
        <v>0</v>
      </c>
      <c r="F129" s="151">
        <v>0</v>
      </c>
      <c r="G129" s="152">
        <v>0</v>
      </c>
      <c r="H129" s="5">
        <v>-1.5404117190528955E-18</v>
      </c>
      <c r="I129" s="5">
        <v>9.800000000000004E-4</v>
      </c>
      <c r="J129" s="5">
        <v>0</v>
      </c>
      <c r="K129" s="5">
        <v>0</v>
      </c>
      <c r="L129" s="5">
        <v>0</v>
      </c>
      <c r="M129" s="5">
        <v>28116.000000000007</v>
      </c>
      <c r="N129" s="5">
        <v>0</v>
      </c>
      <c r="O129" s="5">
        <v>0</v>
      </c>
      <c r="P129" s="5">
        <v>-3.0808234381057922E-21</v>
      </c>
      <c r="Q129" s="5">
        <v>2.548397418700073E-42</v>
      </c>
      <c r="R129" s="5">
        <v>0</v>
      </c>
      <c r="S129" s="5">
        <v>0</v>
      </c>
      <c r="T129" s="5">
        <v>-2.271192392826262E-23</v>
      </c>
      <c r="U129" s="5">
        <v>0</v>
      </c>
      <c r="V129" s="5">
        <v>0</v>
      </c>
      <c r="W129" s="5">
        <v>0</v>
      </c>
      <c r="X129" s="5">
        <v>0</v>
      </c>
      <c r="Y129" s="5">
        <v>0</v>
      </c>
      <c r="Z129" s="5">
        <v>1.3281476612947435E-23</v>
      </c>
      <c r="AA129" s="5">
        <v>0</v>
      </c>
      <c r="AB129" s="5">
        <v>0</v>
      </c>
      <c r="AC129" s="5">
        <v>0</v>
      </c>
      <c r="AD129" s="5">
        <v>0</v>
      </c>
      <c r="AE129" s="5">
        <v>0</v>
      </c>
      <c r="AF129" s="5">
        <v>0</v>
      </c>
      <c r="AG129" s="5">
        <v>0</v>
      </c>
      <c r="AH129" s="5">
        <v>0</v>
      </c>
      <c r="AI129" s="60">
        <v>0</v>
      </c>
      <c r="AJ129" s="5">
        <v>0.04</v>
      </c>
      <c r="AK129" s="5">
        <v>0</v>
      </c>
      <c r="AL129" s="21">
        <v>2.0000000000000001E-4</v>
      </c>
      <c r="AM129" s="73"/>
    </row>
    <row r="130" spans="2:39" x14ac:dyDescent="0.2">
      <c r="B130" s="9"/>
      <c r="C130" s="1" t="s">
        <v>61</v>
      </c>
      <c r="D130" s="1" t="s">
        <v>52</v>
      </c>
      <c r="E130" s="150">
        <v>0</v>
      </c>
      <c r="F130" s="151">
        <v>0</v>
      </c>
      <c r="G130" s="152">
        <v>0</v>
      </c>
      <c r="H130" s="5">
        <v>150732000.00000012</v>
      </c>
      <c r="I130" s="5">
        <v>628.91660000000013</v>
      </c>
      <c r="J130" s="5">
        <v>990.36000000000013</v>
      </c>
      <c r="K130" s="5">
        <v>0</v>
      </c>
      <c r="L130" s="5">
        <v>32100728.800000019</v>
      </c>
      <c r="M130" s="5">
        <v>3198515400.0195808</v>
      </c>
      <c r="N130" s="5">
        <v>6300000</v>
      </c>
      <c r="O130" s="5">
        <v>600000</v>
      </c>
      <c r="P130" s="5">
        <v>301464.00000000029</v>
      </c>
      <c r="Q130" s="5">
        <v>6.0684250584858848E-16</v>
      </c>
      <c r="R130" s="5">
        <v>0</v>
      </c>
      <c r="S130" s="5">
        <v>2.2768237701114048E-16</v>
      </c>
      <c r="T130" s="5">
        <v>1.1327267546736366E-13</v>
      </c>
      <c r="U130" s="5">
        <v>32.04</v>
      </c>
      <c r="V130" s="5">
        <v>12.6</v>
      </c>
      <c r="W130" s="5">
        <v>191.52</v>
      </c>
      <c r="X130" s="5">
        <v>11.879999999999999</v>
      </c>
      <c r="Y130" s="5">
        <v>100.8</v>
      </c>
      <c r="Z130" s="5">
        <v>30.960000000000033</v>
      </c>
      <c r="AA130" s="5">
        <v>35.64</v>
      </c>
      <c r="AB130" s="5">
        <v>47.88</v>
      </c>
      <c r="AC130" s="5">
        <v>42.84</v>
      </c>
      <c r="AD130" s="5">
        <v>109.08</v>
      </c>
      <c r="AE130" s="5">
        <v>480.24</v>
      </c>
      <c r="AF130" s="5">
        <v>2100</v>
      </c>
      <c r="AG130" s="5">
        <v>0.3</v>
      </c>
      <c r="AH130" s="5">
        <v>11</v>
      </c>
      <c r="AI130" s="5">
        <v>13</v>
      </c>
      <c r="AJ130" s="5">
        <v>9</v>
      </c>
      <c r="AK130" s="5">
        <v>1.31</v>
      </c>
      <c r="AL130" s="21">
        <v>1.31</v>
      </c>
      <c r="AM130" s="73"/>
    </row>
    <row r="131" spans="2:39" x14ac:dyDescent="0.2">
      <c r="B131" s="9"/>
      <c r="C131" s="1" t="s">
        <v>62</v>
      </c>
      <c r="D131" s="1" t="s">
        <v>43</v>
      </c>
      <c r="E131" s="153">
        <v>0</v>
      </c>
      <c r="F131" s="154">
        <v>0</v>
      </c>
      <c r="G131" s="155">
        <v>0</v>
      </c>
      <c r="H131" s="5">
        <v>0</v>
      </c>
      <c r="I131" s="5">
        <v>0</v>
      </c>
      <c r="J131" s="5">
        <v>0</v>
      </c>
      <c r="K131" s="5">
        <v>0</v>
      </c>
      <c r="L131" s="5">
        <v>0</v>
      </c>
      <c r="M131" s="5">
        <v>0</v>
      </c>
      <c r="N131" s="5">
        <v>0</v>
      </c>
      <c r="O131" s="5">
        <v>0</v>
      </c>
      <c r="P131" s="5">
        <v>0</v>
      </c>
      <c r="Q131" s="5">
        <v>0</v>
      </c>
      <c r="R131" s="5">
        <v>0</v>
      </c>
      <c r="S131" s="5">
        <v>0</v>
      </c>
      <c r="T131" s="5">
        <v>0</v>
      </c>
      <c r="U131" s="5">
        <v>0</v>
      </c>
      <c r="V131" s="5">
        <v>0</v>
      </c>
      <c r="W131" s="5">
        <v>0</v>
      </c>
      <c r="X131" s="5">
        <v>0</v>
      </c>
      <c r="Y131" s="5">
        <v>0</v>
      </c>
      <c r="Z131" s="5">
        <v>0</v>
      </c>
      <c r="AA131" s="5">
        <v>0</v>
      </c>
      <c r="AB131" s="5">
        <v>0</v>
      </c>
      <c r="AC131" s="5">
        <v>0</v>
      </c>
      <c r="AD131" s="5">
        <v>0</v>
      </c>
      <c r="AE131" s="5">
        <v>0</v>
      </c>
      <c r="AF131" s="5">
        <v>0</v>
      </c>
      <c r="AG131" s="5">
        <v>0</v>
      </c>
      <c r="AH131" s="5">
        <v>0</v>
      </c>
      <c r="AI131" s="5">
        <v>0</v>
      </c>
      <c r="AJ131" s="5">
        <v>0</v>
      </c>
      <c r="AK131" s="5">
        <v>0</v>
      </c>
      <c r="AL131" s="21">
        <v>0</v>
      </c>
      <c r="AM131" s="73"/>
    </row>
    <row r="132" spans="2:39" x14ac:dyDescent="0.2">
      <c r="B132" s="9"/>
      <c r="C132" s="1" t="s">
        <v>63</v>
      </c>
      <c r="D132" s="1" t="s">
        <v>43</v>
      </c>
      <c r="E132" s="153">
        <v>0</v>
      </c>
      <c r="F132" s="154">
        <v>0</v>
      </c>
      <c r="G132" s="155">
        <v>0</v>
      </c>
      <c r="H132" s="5">
        <v>500000</v>
      </c>
      <c r="I132" s="5">
        <v>-5.7824317450280212E-17</v>
      </c>
      <c r="J132" s="5">
        <v>1.355252715606881E-16</v>
      </c>
      <c r="K132" s="5">
        <v>0</v>
      </c>
      <c r="L132" s="5">
        <v>40000.000000000015</v>
      </c>
      <c r="M132" s="5">
        <v>1470000.0000243948</v>
      </c>
      <c r="N132" s="5">
        <v>0</v>
      </c>
      <c r="O132" s="5">
        <v>0</v>
      </c>
      <c r="P132" s="5">
        <v>1000</v>
      </c>
      <c r="Q132" s="5">
        <v>2.3161057151484809E-19</v>
      </c>
      <c r="R132" s="5">
        <v>0</v>
      </c>
      <c r="S132" s="5">
        <v>0</v>
      </c>
      <c r="T132" s="5">
        <v>-1.3552645901723144E-16</v>
      </c>
      <c r="U132" s="5">
        <v>0</v>
      </c>
      <c r="V132" s="5">
        <v>0</v>
      </c>
      <c r="W132" s="5">
        <v>0</v>
      </c>
      <c r="X132" s="5">
        <v>0</v>
      </c>
      <c r="Y132" s="5">
        <v>0</v>
      </c>
      <c r="Z132" s="5">
        <v>1.0587911840678754E-16</v>
      </c>
      <c r="AA132" s="5">
        <v>0</v>
      </c>
      <c r="AB132" s="5">
        <v>0</v>
      </c>
      <c r="AC132" s="5">
        <v>1</v>
      </c>
      <c r="AD132" s="5">
        <v>0</v>
      </c>
      <c r="AE132" s="5">
        <v>0</v>
      </c>
      <c r="AF132" s="5">
        <v>0</v>
      </c>
      <c r="AG132" s="5">
        <v>0</v>
      </c>
      <c r="AH132" s="5">
        <v>0</v>
      </c>
      <c r="AI132" s="5">
        <v>0</v>
      </c>
      <c r="AJ132" s="5">
        <v>0</v>
      </c>
      <c r="AK132" s="5">
        <v>0</v>
      </c>
      <c r="AL132" s="21">
        <v>0</v>
      </c>
      <c r="AM132" s="73"/>
    </row>
    <row r="133" spans="2:39" x14ac:dyDescent="0.2">
      <c r="B133" s="9"/>
      <c r="C133" s="1" t="s">
        <v>64</v>
      </c>
      <c r="D133" s="1" t="s">
        <v>43</v>
      </c>
      <c r="E133" s="153">
        <v>0</v>
      </c>
      <c r="F133" s="154">
        <v>0</v>
      </c>
      <c r="G133" s="155">
        <v>0</v>
      </c>
      <c r="H133" s="5">
        <v>2500000.0000000009</v>
      </c>
      <c r="I133" s="5">
        <v>1.3552664009334406E-16</v>
      </c>
      <c r="J133" s="5">
        <v>7.0000000000000036</v>
      </c>
      <c r="K133" s="5">
        <v>0</v>
      </c>
      <c r="L133" s="5">
        <v>750000.00000000035</v>
      </c>
      <c r="M133" s="5">
        <v>61170000.000457406</v>
      </c>
      <c r="N133" s="5">
        <v>0</v>
      </c>
      <c r="O133" s="5">
        <v>0</v>
      </c>
      <c r="P133" s="5">
        <v>5000.0000000000027</v>
      </c>
      <c r="Q133" s="5">
        <v>1.5716431638507529E-17</v>
      </c>
      <c r="R133" s="5">
        <v>0</v>
      </c>
      <c r="S133" s="5">
        <v>0</v>
      </c>
      <c r="T133" s="5">
        <v>-9.8683602002017256E-16</v>
      </c>
      <c r="U133" s="5">
        <v>1</v>
      </c>
      <c r="V133" s="5">
        <v>1</v>
      </c>
      <c r="W133" s="5">
        <v>0</v>
      </c>
      <c r="X133" s="5">
        <v>0</v>
      </c>
      <c r="Y133" s="5">
        <v>0</v>
      </c>
      <c r="Z133" s="5">
        <v>5.2933321652770189E-16</v>
      </c>
      <c r="AA133" s="5">
        <v>0</v>
      </c>
      <c r="AB133" s="5">
        <v>0</v>
      </c>
      <c r="AC133" s="5">
        <v>0</v>
      </c>
      <c r="AD133" s="5">
        <v>0</v>
      </c>
      <c r="AE133" s="5">
        <v>0</v>
      </c>
      <c r="AF133" s="5">
        <v>0</v>
      </c>
      <c r="AG133" s="5">
        <v>0</v>
      </c>
      <c r="AH133" s="5">
        <v>0</v>
      </c>
      <c r="AI133" s="5">
        <v>0</v>
      </c>
      <c r="AJ133" s="5">
        <v>0</v>
      </c>
      <c r="AK133" s="5">
        <v>0</v>
      </c>
      <c r="AL133" s="21">
        <v>0</v>
      </c>
      <c r="AM133" s="73"/>
    </row>
    <row r="134" spans="2:39" x14ac:dyDescent="0.2">
      <c r="B134" s="9"/>
      <c r="C134" s="1" t="s">
        <v>65</v>
      </c>
      <c r="D134" s="1" t="s">
        <v>43</v>
      </c>
      <c r="E134" s="153">
        <v>0</v>
      </c>
      <c r="F134" s="154">
        <v>0</v>
      </c>
      <c r="G134" s="155">
        <v>0</v>
      </c>
      <c r="H134" s="5">
        <v>200000.00000000064</v>
      </c>
      <c r="I134" s="5">
        <v>2.6300000000000008</v>
      </c>
      <c r="J134" s="5">
        <v>4</v>
      </c>
      <c r="K134" s="5">
        <v>0</v>
      </c>
      <c r="L134" s="5">
        <v>1000.0000000000341</v>
      </c>
      <c r="M134" s="5">
        <v>200000.00000062521</v>
      </c>
      <c r="N134" s="5">
        <v>0</v>
      </c>
      <c r="O134" s="5">
        <v>0</v>
      </c>
      <c r="P134" s="5">
        <v>400.00000000000131</v>
      </c>
      <c r="Q134" s="5">
        <v>-3.0440246541951428E-19</v>
      </c>
      <c r="R134" s="5">
        <v>0</v>
      </c>
      <c r="S134" s="5">
        <v>0</v>
      </c>
      <c r="T134" s="5">
        <v>8.8479012635239415E-16</v>
      </c>
      <c r="U134" s="5">
        <v>0</v>
      </c>
      <c r="V134" s="5">
        <v>0</v>
      </c>
      <c r="W134" s="5">
        <v>1</v>
      </c>
      <c r="X134" s="5">
        <v>0</v>
      </c>
      <c r="Y134" s="5">
        <v>0</v>
      </c>
      <c r="Z134" s="5">
        <v>4.2351647362715159E-17</v>
      </c>
      <c r="AA134" s="5">
        <v>0</v>
      </c>
      <c r="AB134" s="5">
        <v>0</v>
      </c>
      <c r="AC134" s="5">
        <v>0</v>
      </c>
      <c r="AD134" s="5">
        <v>0</v>
      </c>
      <c r="AE134" s="5">
        <v>0</v>
      </c>
      <c r="AF134" s="5">
        <v>0</v>
      </c>
      <c r="AG134" s="5">
        <v>0</v>
      </c>
      <c r="AH134" s="5">
        <v>0</v>
      </c>
      <c r="AI134" s="5">
        <v>0</v>
      </c>
      <c r="AJ134" s="5">
        <v>0</v>
      </c>
      <c r="AK134" s="5">
        <v>0</v>
      </c>
      <c r="AL134" s="21">
        <v>0</v>
      </c>
      <c r="AM134" s="73"/>
    </row>
    <row r="135" spans="2:39" x14ac:dyDescent="0.2">
      <c r="B135" s="9"/>
      <c r="C135" s="1" t="s">
        <v>111</v>
      </c>
      <c r="D135" s="1" t="s">
        <v>22</v>
      </c>
      <c r="E135" s="156">
        <v>0</v>
      </c>
      <c r="F135" s="157">
        <v>0</v>
      </c>
      <c r="G135" s="158">
        <v>0</v>
      </c>
      <c r="H135" s="23">
        <v>140000.00000000012</v>
      </c>
      <c r="I135" s="23">
        <v>0.52600000000000013</v>
      </c>
      <c r="J135" s="23">
        <v>1.08</v>
      </c>
      <c r="K135" s="23">
        <v>0</v>
      </c>
      <c r="L135" s="23">
        <v>55300.000000000029</v>
      </c>
      <c r="M135" s="23">
        <v>4957100.0000337288</v>
      </c>
      <c r="N135" s="23">
        <v>9</v>
      </c>
      <c r="O135" s="23">
        <v>0.9</v>
      </c>
      <c r="P135" s="23">
        <v>280.00000000000028</v>
      </c>
      <c r="Q135" s="23">
        <v>1.2321682404589904E-18</v>
      </c>
      <c r="R135" s="23">
        <v>0</v>
      </c>
      <c r="S135" s="23">
        <v>9.4325589006238878E-19</v>
      </c>
      <c r="T135" s="23">
        <v>5.2440628844083378E-17</v>
      </c>
      <c r="U135" s="23">
        <v>0.04</v>
      </c>
      <c r="V135" s="23">
        <v>0.03</v>
      </c>
      <c r="W135" s="23">
        <v>0.2</v>
      </c>
      <c r="X135" s="23">
        <v>0</v>
      </c>
      <c r="Y135" s="23">
        <v>0</v>
      </c>
      <c r="Z135" s="23">
        <v>2.9643658133651099E-17</v>
      </c>
      <c r="AA135" s="23">
        <v>0</v>
      </c>
      <c r="AB135" s="23">
        <v>0</v>
      </c>
      <c r="AC135" s="23">
        <v>0</v>
      </c>
      <c r="AD135" s="23">
        <v>0</v>
      </c>
      <c r="AE135" s="23">
        <v>0</v>
      </c>
      <c r="AF135" s="23">
        <v>8.6999999999999993</v>
      </c>
      <c r="AG135" s="23">
        <v>0</v>
      </c>
      <c r="AH135" s="23">
        <v>0</v>
      </c>
      <c r="AI135" s="23">
        <v>0</v>
      </c>
      <c r="AJ135" s="23">
        <v>0</v>
      </c>
      <c r="AK135" s="23">
        <v>0</v>
      </c>
      <c r="AL135" s="24">
        <v>0</v>
      </c>
      <c r="AM135" s="73"/>
    </row>
    <row r="136" spans="2:39" ht="12" thickBot="1" x14ac:dyDescent="0.25">
      <c r="B136" s="11"/>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c r="AA136" s="77"/>
      <c r="AB136" s="77"/>
      <c r="AC136" s="77"/>
      <c r="AD136" s="77"/>
      <c r="AE136" s="77"/>
      <c r="AF136" s="77"/>
      <c r="AG136" s="77"/>
      <c r="AH136" s="77"/>
      <c r="AI136" s="77"/>
      <c r="AJ136" s="77"/>
      <c r="AK136" s="77"/>
      <c r="AL136" s="77"/>
      <c r="AM136" s="78"/>
    </row>
    <row r="138" spans="2:39" ht="12" thickBot="1" x14ac:dyDescent="0.25"/>
    <row r="139" spans="2:39" x14ac:dyDescent="0.2">
      <c r="B139" s="2" t="s">
        <v>122</v>
      </c>
      <c r="C139" s="12"/>
      <c r="D139" s="12"/>
      <c r="E139" s="12"/>
      <c r="F139" s="120"/>
      <c r="G139" s="120"/>
      <c r="H139" s="120"/>
      <c r="I139" s="120"/>
      <c r="J139" s="120"/>
      <c r="K139" s="120"/>
      <c r="L139" s="120"/>
      <c r="M139" s="120"/>
      <c r="N139" s="120"/>
      <c r="O139" s="120"/>
      <c r="P139" s="120"/>
      <c r="Q139" s="120"/>
      <c r="R139" s="120"/>
      <c r="S139" s="120"/>
      <c r="T139" s="120"/>
      <c r="U139" s="120"/>
      <c r="V139" s="120"/>
      <c r="W139" s="120"/>
      <c r="X139" s="120"/>
      <c r="Y139" s="120"/>
      <c r="Z139" s="120"/>
      <c r="AA139" s="120"/>
      <c r="AB139" s="120"/>
      <c r="AC139" s="120"/>
      <c r="AD139" s="120"/>
      <c r="AE139" s="120"/>
      <c r="AF139" s="120"/>
      <c r="AG139" s="120"/>
      <c r="AH139" s="120"/>
      <c r="AI139" s="120"/>
      <c r="AJ139" s="120"/>
      <c r="AK139" s="120"/>
      <c r="AL139" s="12"/>
      <c r="AM139" s="72"/>
    </row>
    <row r="140" spans="2:39" ht="99" x14ac:dyDescent="0.2">
      <c r="B140" s="3"/>
      <c r="C140" s="1"/>
      <c r="D140" s="1"/>
      <c r="E140" s="74" t="s">
        <v>14</v>
      </c>
      <c r="F140" s="74" t="s">
        <v>12</v>
      </c>
      <c r="G140" s="74" t="s">
        <v>13</v>
      </c>
      <c r="H140" s="125"/>
      <c r="I140" s="125"/>
      <c r="J140" s="125"/>
      <c r="K140" s="125"/>
      <c r="L140" s="125"/>
      <c r="M140" s="125"/>
      <c r="N140" s="125"/>
      <c r="O140" s="125"/>
      <c r="P140" s="125"/>
      <c r="Q140" s="125"/>
      <c r="R140" s="125"/>
      <c r="S140" s="125"/>
      <c r="T140" s="125"/>
      <c r="U140" s="125"/>
      <c r="V140" s="125"/>
      <c r="W140" s="125"/>
      <c r="X140" s="125"/>
      <c r="Y140" s="125"/>
      <c r="Z140" s="125"/>
      <c r="AA140" s="125"/>
      <c r="AB140" s="125"/>
      <c r="AC140" s="125"/>
      <c r="AD140" s="125"/>
      <c r="AE140" s="125"/>
      <c r="AF140" s="125"/>
      <c r="AG140" s="125"/>
      <c r="AH140" s="125"/>
      <c r="AI140" s="125"/>
      <c r="AJ140" s="125"/>
      <c r="AK140" s="125"/>
      <c r="AL140" s="1"/>
      <c r="AM140" s="73"/>
    </row>
    <row r="141" spans="2:39" ht="21" thickBot="1" x14ac:dyDescent="0.25">
      <c r="B141" s="4" t="s">
        <v>121</v>
      </c>
      <c r="C141" s="6" t="s">
        <v>58</v>
      </c>
      <c r="D141" s="6" t="s">
        <v>10</v>
      </c>
      <c r="E141" s="74" t="s">
        <v>11</v>
      </c>
      <c r="F141" s="74" t="s">
        <v>11</v>
      </c>
      <c r="G141" s="74" t="s">
        <v>11</v>
      </c>
      <c r="H141" s="125"/>
      <c r="I141" s="125"/>
      <c r="J141" s="125"/>
      <c r="K141" s="125"/>
      <c r="L141" s="125"/>
      <c r="M141" s="125"/>
      <c r="N141" s="125"/>
      <c r="O141" s="125"/>
      <c r="P141" s="125"/>
      <c r="Q141" s="125"/>
      <c r="R141" s="125"/>
      <c r="S141" s="125"/>
      <c r="T141" s="125"/>
      <c r="U141" s="125"/>
      <c r="V141" s="125"/>
      <c r="W141" s="125"/>
      <c r="X141" s="125"/>
      <c r="Y141" s="125"/>
      <c r="Z141" s="125"/>
      <c r="AA141" s="125"/>
      <c r="AB141" s="125"/>
      <c r="AC141" s="125"/>
      <c r="AD141" s="125"/>
      <c r="AE141" s="125"/>
      <c r="AF141" s="125"/>
      <c r="AG141" s="125"/>
      <c r="AH141" s="125"/>
      <c r="AI141" s="125"/>
      <c r="AJ141" s="125"/>
      <c r="AK141" s="125"/>
      <c r="AL141" s="1"/>
      <c r="AM141" s="73"/>
    </row>
    <row r="142" spans="2:39" x14ac:dyDescent="0.2">
      <c r="B142" s="3"/>
      <c r="C142" s="1" t="s">
        <v>115</v>
      </c>
      <c r="D142" s="1" t="s">
        <v>116</v>
      </c>
      <c r="E142" s="159"/>
      <c r="F142" s="160"/>
      <c r="G142" s="161"/>
      <c r="H142" s="120"/>
      <c r="I142" s="120"/>
      <c r="J142" s="120"/>
      <c r="K142" s="120"/>
      <c r="L142" s="120"/>
      <c r="M142" s="120"/>
      <c r="N142" s="120"/>
      <c r="O142" s="120"/>
      <c r="P142" s="120"/>
      <c r="Q142" s="120"/>
      <c r="R142" s="120"/>
      <c r="S142" s="120"/>
      <c r="T142" s="120"/>
      <c r="U142" s="120"/>
      <c r="V142" s="120"/>
      <c r="W142" s="120"/>
      <c r="X142" s="120"/>
      <c r="Y142" s="120"/>
      <c r="Z142" s="120"/>
      <c r="AA142" s="120"/>
      <c r="AB142" s="120"/>
      <c r="AC142" s="120"/>
      <c r="AD142" s="120"/>
      <c r="AE142" s="120"/>
      <c r="AF142" s="120"/>
      <c r="AG142" s="120"/>
      <c r="AH142" s="120"/>
      <c r="AI142" s="120"/>
      <c r="AJ142" s="120"/>
      <c r="AK142" s="120"/>
      <c r="AL142" s="121"/>
      <c r="AM142" s="73"/>
    </row>
    <row r="143" spans="2:39" x14ac:dyDescent="0.2">
      <c r="B143" s="3"/>
      <c r="C143" s="1" t="s">
        <v>61</v>
      </c>
      <c r="D143" s="1" t="s">
        <v>52</v>
      </c>
      <c r="E143" s="162"/>
      <c r="F143" s="163"/>
      <c r="G143" s="164"/>
      <c r="H143" s="126"/>
      <c r="I143" s="126"/>
      <c r="J143" s="125"/>
      <c r="K143" s="125"/>
      <c r="L143" s="125"/>
      <c r="M143" s="125"/>
      <c r="N143" s="125"/>
      <c r="O143" s="125"/>
      <c r="P143" s="125"/>
      <c r="Q143" s="125"/>
      <c r="R143" s="125"/>
      <c r="S143" s="125"/>
      <c r="T143" s="125"/>
      <c r="U143" s="125"/>
      <c r="V143" s="125"/>
      <c r="W143" s="125"/>
      <c r="X143" s="125"/>
      <c r="Y143" s="125"/>
      <c r="Z143" s="125"/>
      <c r="AA143" s="125"/>
      <c r="AB143" s="125"/>
      <c r="AC143" s="125"/>
      <c r="AD143" s="125"/>
      <c r="AE143" s="125"/>
      <c r="AF143" s="125"/>
      <c r="AG143" s="125"/>
      <c r="AH143" s="125"/>
      <c r="AI143" s="125"/>
      <c r="AJ143" s="125"/>
      <c r="AK143" s="125"/>
      <c r="AL143" s="122"/>
      <c r="AM143" s="73"/>
    </row>
    <row r="144" spans="2:39" x14ac:dyDescent="0.2">
      <c r="B144" s="3"/>
      <c r="C144" s="1" t="s">
        <v>117</v>
      </c>
      <c r="D144" s="1" t="s">
        <v>118</v>
      </c>
      <c r="E144" s="165"/>
      <c r="F144" s="166"/>
      <c r="G144" s="164"/>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22"/>
      <c r="AM144" s="73"/>
    </row>
    <row r="145" spans="2:39" ht="12" thickBot="1" x14ac:dyDescent="0.25">
      <c r="B145" s="3"/>
      <c r="C145" s="1" t="s">
        <v>119</v>
      </c>
      <c r="D145" s="1" t="s">
        <v>22</v>
      </c>
      <c r="E145" s="167"/>
      <c r="F145" s="168"/>
      <c r="G145" s="169"/>
      <c r="H145" s="123"/>
      <c r="I145" s="123"/>
      <c r="J145" s="123"/>
      <c r="K145" s="123"/>
      <c r="L145" s="123"/>
      <c r="M145" s="123"/>
      <c r="N145" s="123"/>
      <c r="O145" s="123"/>
      <c r="P145" s="123"/>
      <c r="Q145" s="123"/>
      <c r="R145" s="123"/>
      <c r="S145" s="123"/>
      <c r="T145" s="123"/>
      <c r="U145" s="123"/>
      <c r="V145" s="123"/>
      <c r="W145" s="123"/>
      <c r="X145" s="123"/>
      <c r="Y145" s="123"/>
      <c r="Z145" s="123"/>
      <c r="AA145" s="123"/>
      <c r="AB145" s="123"/>
      <c r="AC145" s="123"/>
      <c r="AD145" s="123"/>
      <c r="AE145" s="123"/>
      <c r="AF145" s="123"/>
      <c r="AG145" s="123"/>
      <c r="AH145" s="123"/>
      <c r="AI145" s="123"/>
      <c r="AJ145" s="123"/>
      <c r="AK145" s="123"/>
      <c r="AL145" s="124"/>
      <c r="AM145" s="73"/>
    </row>
    <row r="146" spans="2:39" ht="12" thickBot="1" x14ac:dyDescent="0.25">
      <c r="B146" s="11"/>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c r="AA146" s="77"/>
      <c r="AB146" s="77"/>
      <c r="AC146" s="77"/>
      <c r="AD146" s="77"/>
      <c r="AE146" s="77"/>
      <c r="AF146" s="77"/>
      <c r="AG146" s="77"/>
      <c r="AH146" s="77"/>
      <c r="AI146" s="77"/>
      <c r="AJ146" s="77"/>
      <c r="AK146" s="77"/>
      <c r="AL146" s="77"/>
      <c r="AM146" s="78"/>
    </row>
  </sheetData>
  <conditionalFormatting sqref="E61:AF66 AG61:AK75 E67:U67 W67:AF67 E68:AF70 M71:AF75">
    <cfRule type="cellIs" dxfId="2" priority="4" operator="equal">
      <formula>0</formula>
    </cfRule>
  </conditionalFormatting>
  <conditionalFormatting sqref="G71:K75 E72:F75">
    <cfRule type="cellIs" dxfId="1" priority="2" operator="equal">
      <formula>0</formula>
    </cfRule>
  </conditionalFormatting>
  <conditionalFormatting sqref="L72:L75">
    <cfRule type="cellIs" dxfId="0" priority="1" operator="equal">
      <formula>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D3DA1-3086-4A50-BA18-2BD783D7655B}">
  <sheetPr>
    <tabColor theme="8"/>
  </sheetPr>
  <dimension ref="A1:Z40"/>
  <sheetViews>
    <sheetView zoomScale="70" zoomScaleNormal="70" workbookViewId="0">
      <selection activeCell="V117" sqref="V117"/>
    </sheetView>
  </sheetViews>
  <sheetFormatPr defaultRowHeight="11.25" x14ac:dyDescent="0.2"/>
  <cols>
    <col min="1" max="1" width="16.5703125" style="1" customWidth="1"/>
    <col min="2" max="2" width="9.140625" style="1"/>
    <col min="3" max="3" width="12" style="1" bestFit="1" customWidth="1"/>
    <col min="4" max="4" width="12.7109375" style="1" bestFit="1" customWidth="1"/>
    <col min="5" max="5" width="12.7109375" style="1" customWidth="1"/>
    <col min="6" max="14" width="9.140625" style="1"/>
    <col min="15" max="15" width="10.7109375" style="1" bestFit="1" customWidth="1"/>
    <col min="16" max="16" width="10.5703125" style="1" bestFit="1" customWidth="1"/>
    <col min="17" max="17" width="9.28515625" style="1" bestFit="1" customWidth="1"/>
    <col min="18" max="16384" width="9.140625" style="1"/>
  </cols>
  <sheetData>
    <row r="1" spans="1:26" ht="15" customHeight="1" x14ac:dyDescent="0.2">
      <c r="C1" s="145" t="s">
        <v>125</v>
      </c>
      <c r="D1" s="146"/>
      <c r="E1" s="146"/>
      <c r="F1" s="146"/>
      <c r="G1" s="146"/>
      <c r="H1" s="146"/>
      <c r="I1" s="146"/>
      <c r="J1" s="146"/>
      <c r="K1" s="146"/>
      <c r="L1" s="146"/>
      <c r="M1" s="146"/>
      <c r="N1" s="146"/>
      <c r="O1" s="145" t="s">
        <v>125</v>
      </c>
      <c r="P1" s="146"/>
      <c r="Q1" s="146"/>
      <c r="R1" s="146"/>
      <c r="S1" s="146"/>
      <c r="T1" s="146"/>
      <c r="U1" s="146"/>
      <c r="V1" s="146"/>
      <c r="W1" s="146"/>
      <c r="X1" s="146"/>
      <c r="Y1" s="146"/>
      <c r="Z1" s="146"/>
    </row>
    <row r="2" spans="1:26" x14ac:dyDescent="0.2">
      <c r="C2" s="143" t="s">
        <v>126</v>
      </c>
      <c r="D2" s="144"/>
      <c r="E2" s="144"/>
      <c r="F2" s="142" t="s">
        <v>130</v>
      </c>
      <c r="G2" s="142"/>
      <c r="H2" s="142"/>
      <c r="I2" s="142" t="s">
        <v>131</v>
      </c>
      <c r="J2" s="142"/>
      <c r="K2" s="142"/>
      <c r="L2" s="142" t="s">
        <v>129</v>
      </c>
      <c r="M2" s="142"/>
      <c r="N2" s="142"/>
      <c r="O2" s="143" t="s">
        <v>126</v>
      </c>
      <c r="P2" s="144"/>
      <c r="Q2" s="144"/>
      <c r="R2" s="142" t="s">
        <v>130</v>
      </c>
      <c r="S2" s="142"/>
      <c r="T2" s="142"/>
      <c r="U2" s="142" t="s">
        <v>131</v>
      </c>
      <c r="V2" s="142"/>
      <c r="W2" s="142"/>
      <c r="X2" s="142" t="s">
        <v>129</v>
      </c>
      <c r="Y2" s="142"/>
      <c r="Z2" s="142"/>
    </row>
    <row r="3" spans="1:26" ht="33.75" x14ac:dyDescent="0.2">
      <c r="C3" s="137" t="s">
        <v>14</v>
      </c>
      <c r="D3" s="138" t="s">
        <v>12</v>
      </c>
      <c r="E3" s="138" t="s">
        <v>13</v>
      </c>
      <c r="F3" s="138" t="s">
        <v>14</v>
      </c>
      <c r="G3" s="138" t="s">
        <v>12</v>
      </c>
      <c r="H3" s="138" t="s">
        <v>13</v>
      </c>
      <c r="I3" s="138" t="s">
        <v>14</v>
      </c>
      <c r="J3" s="138" t="s">
        <v>12</v>
      </c>
      <c r="K3" s="138" t="s">
        <v>13</v>
      </c>
      <c r="L3" s="138" t="s">
        <v>14</v>
      </c>
      <c r="M3" s="138" t="s">
        <v>12</v>
      </c>
      <c r="N3" s="139" t="s">
        <v>13</v>
      </c>
      <c r="O3" s="137" t="s">
        <v>14</v>
      </c>
      <c r="P3" s="138" t="s">
        <v>12</v>
      </c>
      <c r="Q3" s="138" t="s">
        <v>13</v>
      </c>
      <c r="R3" s="138" t="s">
        <v>14</v>
      </c>
      <c r="S3" s="138" t="s">
        <v>12</v>
      </c>
      <c r="T3" s="138" t="s">
        <v>13</v>
      </c>
      <c r="U3" s="138" t="s">
        <v>14</v>
      </c>
      <c r="V3" s="138" t="s">
        <v>12</v>
      </c>
      <c r="W3" s="138" t="s">
        <v>13</v>
      </c>
      <c r="X3" s="138" t="s">
        <v>14</v>
      </c>
      <c r="Y3" s="138" t="s">
        <v>12</v>
      </c>
      <c r="Z3" s="139" t="s">
        <v>13</v>
      </c>
    </row>
    <row r="4" spans="1:26" x14ac:dyDescent="0.2">
      <c r="C4" s="140" t="s">
        <v>11</v>
      </c>
      <c r="D4" s="80" t="s">
        <v>11</v>
      </c>
      <c r="E4" s="80" t="s">
        <v>11</v>
      </c>
      <c r="F4" s="80" t="s">
        <v>11</v>
      </c>
      <c r="G4" s="80" t="s">
        <v>11</v>
      </c>
      <c r="H4" s="80" t="s">
        <v>11</v>
      </c>
      <c r="I4" s="80" t="s">
        <v>11</v>
      </c>
      <c r="J4" s="80" t="s">
        <v>11</v>
      </c>
      <c r="K4" s="80" t="s">
        <v>11</v>
      </c>
      <c r="L4" s="80" t="s">
        <v>11</v>
      </c>
      <c r="M4" s="80" t="s">
        <v>11</v>
      </c>
      <c r="N4" s="141" t="s">
        <v>11</v>
      </c>
      <c r="O4" s="140" t="s">
        <v>11</v>
      </c>
      <c r="P4" s="80" t="s">
        <v>11</v>
      </c>
      <c r="Q4" s="80" t="s">
        <v>11</v>
      </c>
      <c r="R4" s="80" t="s">
        <v>11</v>
      </c>
      <c r="S4" s="80" t="s">
        <v>11</v>
      </c>
      <c r="T4" s="80" t="s">
        <v>11</v>
      </c>
      <c r="U4" s="80" t="s">
        <v>11</v>
      </c>
      <c r="V4" s="80" t="s">
        <v>11</v>
      </c>
      <c r="W4" s="80" t="s">
        <v>11</v>
      </c>
      <c r="X4" s="80" t="s">
        <v>11</v>
      </c>
      <c r="Y4" s="80" t="s">
        <v>11</v>
      </c>
      <c r="Z4" s="141" t="s">
        <v>11</v>
      </c>
    </row>
    <row r="5" spans="1:26" x14ac:dyDescent="0.2">
      <c r="A5" s="6" t="s">
        <v>9</v>
      </c>
      <c r="B5" s="6" t="s">
        <v>10</v>
      </c>
      <c r="C5" s="113"/>
      <c r="D5" s="114"/>
      <c r="E5" s="114"/>
      <c r="F5" s="114"/>
      <c r="G5" s="114"/>
      <c r="H5" s="114"/>
      <c r="I5" s="114"/>
      <c r="J5" s="118"/>
      <c r="K5" s="114"/>
      <c r="L5" s="114"/>
      <c r="M5" s="114"/>
      <c r="N5" s="118"/>
      <c r="O5" s="113"/>
      <c r="P5" s="114"/>
      <c r="Q5" s="114"/>
      <c r="R5" s="114"/>
      <c r="S5" s="114"/>
      <c r="T5" s="114"/>
      <c r="U5" s="114"/>
      <c r="V5" s="118"/>
      <c r="W5" s="114"/>
      <c r="X5" s="114"/>
      <c r="Y5" s="114"/>
      <c r="Z5" s="118"/>
    </row>
    <row r="6" spans="1:26" x14ac:dyDescent="0.2">
      <c r="A6" s="8" t="s">
        <v>14</v>
      </c>
      <c r="B6" s="8" t="s">
        <v>11</v>
      </c>
      <c r="C6" s="132">
        <f t="array" ref="C6:E39">Inventaire!$E$91:$G$124*TRANSPOSE(Inventaire!E81:AL81)*1000</f>
        <v>0</v>
      </c>
      <c r="D6" s="133">
        <v>0</v>
      </c>
      <c r="E6" s="133">
        <v>0</v>
      </c>
      <c r="F6" s="132">
        <f t="array" ref="F6:H39">Inventaire!$E$91:$G$124*TRANSPOSE(Inventaire!E82:AL82)</f>
        <v>0</v>
      </c>
      <c r="G6" s="133">
        <v>0</v>
      </c>
      <c r="H6" s="133">
        <v>0</v>
      </c>
      <c r="I6" s="132">
        <f t="array" ref="I6:K39">Inventaire!$E$91:$G$124*TRANSPOSE(Inventaire!E83:AL83)*100000000</f>
        <v>0</v>
      </c>
      <c r="J6" s="133">
        <v>0</v>
      </c>
      <c r="K6" s="133">
        <v>0</v>
      </c>
      <c r="L6" s="132">
        <f t="array" ref="L6:N39">Inventaire!$E$91:$G$124*TRANSPOSE(Inventaire!E84:AL84)*100000</f>
        <v>0</v>
      </c>
      <c r="M6" s="133">
        <v>0</v>
      </c>
      <c r="N6" s="134">
        <v>0</v>
      </c>
      <c r="O6" s="30" t="e">
        <f t="array" ref="O6:Q39">C6:E39/MAX(C40:E40)</f>
        <v>#DIV/0!</v>
      </c>
      <c r="P6" s="30" t="e">
        <v>#DIV/0!</v>
      </c>
      <c r="Q6" s="30" t="e">
        <v>#DIV/0!</v>
      </c>
      <c r="R6" s="30" t="e">
        <f t="array" ref="R6:T39">F6:H39/MAX(F40:H40)</f>
        <v>#DIV/0!</v>
      </c>
      <c r="S6" s="30" t="e">
        <v>#DIV/0!</v>
      </c>
      <c r="T6" s="30" t="e">
        <v>#DIV/0!</v>
      </c>
      <c r="U6" s="30" t="e">
        <f t="array" ref="U6:W39">I6:K39/MAX(I40:K40)</f>
        <v>#DIV/0!</v>
      </c>
      <c r="V6" s="30" t="e">
        <v>#DIV/0!</v>
      </c>
      <c r="W6" s="30" t="e">
        <v>#DIV/0!</v>
      </c>
      <c r="X6" s="30" t="e">
        <f t="array" ref="X6:Z39">L6:N39/MAX(L40:N40)</f>
        <v>#DIV/0!</v>
      </c>
      <c r="Y6" s="30" t="e">
        <v>#DIV/0!</v>
      </c>
      <c r="Z6" s="30" t="e">
        <v>#DIV/0!</v>
      </c>
    </row>
    <row r="7" spans="1:26" x14ac:dyDescent="0.2">
      <c r="A7" s="8" t="s">
        <v>12</v>
      </c>
      <c r="B7" s="8" t="s">
        <v>11</v>
      </c>
      <c r="C7" s="128">
        <v>0</v>
      </c>
      <c r="D7" s="129">
        <v>0</v>
      </c>
      <c r="E7" s="129">
        <v>0</v>
      </c>
      <c r="F7" s="128">
        <v>0</v>
      </c>
      <c r="G7" s="129">
        <v>0</v>
      </c>
      <c r="H7" s="129">
        <v>0</v>
      </c>
      <c r="I7" s="128">
        <v>0</v>
      </c>
      <c r="J7" s="129">
        <v>0</v>
      </c>
      <c r="K7" s="129">
        <v>0</v>
      </c>
      <c r="L7" s="128">
        <v>0</v>
      </c>
      <c r="M7" s="129">
        <v>0</v>
      </c>
      <c r="N7" s="135">
        <v>0</v>
      </c>
      <c r="O7" s="30" t="e">
        <v>#DIV/0!</v>
      </c>
      <c r="P7" s="30" t="e">
        <v>#DIV/0!</v>
      </c>
      <c r="Q7" s="30" t="e">
        <v>#DIV/0!</v>
      </c>
      <c r="R7" s="30" t="e">
        <v>#DIV/0!</v>
      </c>
      <c r="S7" s="30" t="e">
        <v>#DIV/0!</v>
      </c>
      <c r="T7" s="30" t="e">
        <v>#DIV/0!</v>
      </c>
      <c r="U7" s="30" t="e">
        <v>#DIV/0!</v>
      </c>
      <c r="V7" s="30" t="e">
        <v>#DIV/0!</v>
      </c>
      <c r="W7" s="30" t="e">
        <v>#DIV/0!</v>
      </c>
      <c r="X7" s="30" t="e">
        <v>#DIV/0!</v>
      </c>
      <c r="Y7" s="30" t="e">
        <v>#DIV/0!</v>
      </c>
      <c r="Z7" s="30" t="e">
        <v>#DIV/0!</v>
      </c>
    </row>
    <row r="8" spans="1:26" x14ac:dyDescent="0.2">
      <c r="A8" s="8" t="s">
        <v>13</v>
      </c>
      <c r="B8" s="8" t="s">
        <v>11</v>
      </c>
      <c r="C8" s="128">
        <v>0</v>
      </c>
      <c r="D8" s="129">
        <v>0</v>
      </c>
      <c r="E8" s="129">
        <v>0</v>
      </c>
      <c r="F8" s="128">
        <v>0</v>
      </c>
      <c r="G8" s="129">
        <v>0</v>
      </c>
      <c r="H8" s="129">
        <v>0</v>
      </c>
      <c r="I8" s="128">
        <v>0</v>
      </c>
      <c r="J8" s="129">
        <v>0</v>
      </c>
      <c r="K8" s="129">
        <v>0</v>
      </c>
      <c r="L8" s="128">
        <v>0</v>
      </c>
      <c r="M8" s="129">
        <v>0</v>
      </c>
      <c r="N8" s="135">
        <v>0</v>
      </c>
      <c r="O8" s="30" t="e">
        <v>#DIV/0!</v>
      </c>
      <c r="P8" s="30" t="e">
        <v>#DIV/0!</v>
      </c>
      <c r="Q8" s="30" t="e">
        <v>#DIV/0!</v>
      </c>
      <c r="R8" s="30" t="e">
        <v>#DIV/0!</v>
      </c>
      <c r="S8" s="30" t="e">
        <v>#DIV/0!</v>
      </c>
      <c r="T8" s="30" t="e">
        <v>#DIV/0!</v>
      </c>
      <c r="U8" s="30" t="e">
        <v>#DIV/0!</v>
      </c>
      <c r="V8" s="30" t="e">
        <v>#DIV/0!</v>
      </c>
      <c r="W8" s="30" t="e">
        <v>#DIV/0!</v>
      </c>
      <c r="X8" s="30" t="e">
        <v>#DIV/0!</v>
      </c>
      <c r="Y8" s="30" t="e">
        <v>#DIV/0!</v>
      </c>
      <c r="Z8" s="30" t="e">
        <v>#DIV/0!</v>
      </c>
    </row>
    <row r="9" spans="1:26" x14ac:dyDescent="0.2">
      <c r="A9" s="16" t="s">
        <v>16</v>
      </c>
      <c r="B9" s="16" t="s">
        <v>10</v>
      </c>
      <c r="C9" s="128">
        <v>0</v>
      </c>
      <c r="D9" s="129">
        <v>0</v>
      </c>
      <c r="E9" s="129">
        <v>0</v>
      </c>
      <c r="F9" s="128">
        <v>0</v>
      </c>
      <c r="G9" s="129">
        <v>0</v>
      </c>
      <c r="H9" s="129">
        <v>0</v>
      </c>
      <c r="I9" s="128">
        <v>0</v>
      </c>
      <c r="J9" s="129">
        <v>0</v>
      </c>
      <c r="K9" s="129">
        <v>0</v>
      </c>
      <c r="L9" s="128">
        <v>0</v>
      </c>
      <c r="M9" s="129">
        <v>0</v>
      </c>
      <c r="N9" s="135">
        <v>0</v>
      </c>
      <c r="O9" s="30" t="e">
        <v>#DIV/0!</v>
      </c>
      <c r="P9" s="30" t="e">
        <v>#DIV/0!</v>
      </c>
      <c r="Q9" s="30" t="e">
        <v>#DIV/0!</v>
      </c>
      <c r="R9" s="30" t="e">
        <v>#DIV/0!</v>
      </c>
      <c r="S9" s="30" t="e">
        <v>#DIV/0!</v>
      </c>
      <c r="T9" s="30" t="e">
        <v>#DIV/0!</v>
      </c>
      <c r="U9" s="30" t="e">
        <v>#DIV/0!</v>
      </c>
      <c r="V9" s="30" t="e">
        <v>#DIV/0!</v>
      </c>
      <c r="W9" s="30" t="e">
        <v>#DIV/0!</v>
      </c>
      <c r="X9" s="30" t="e">
        <v>#DIV/0!</v>
      </c>
      <c r="Y9" s="30" t="e">
        <v>#DIV/0!</v>
      </c>
      <c r="Z9" s="30" t="e">
        <v>#DIV/0!</v>
      </c>
    </row>
    <row r="10" spans="1:26" x14ac:dyDescent="0.2">
      <c r="A10" s="16" t="s">
        <v>17</v>
      </c>
      <c r="B10" s="16" t="s">
        <v>22</v>
      </c>
      <c r="C10" s="128">
        <v>0</v>
      </c>
      <c r="D10" s="129">
        <v>0</v>
      </c>
      <c r="E10" s="129">
        <v>0</v>
      </c>
      <c r="F10" s="128">
        <v>0</v>
      </c>
      <c r="G10" s="129">
        <v>0</v>
      </c>
      <c r="H10" s="129">
        <v>0</v>
      </c>
      <c r="I10" s="128">
        <v>0</v>
      </c>
      <c r="J10" s="129">
        <v>0</v>
      </c>
      <c r="K10" s="129">
        <v>0</v>
      </c>
      <c r="L10" s="128">
        <v>0</v>
      </c>
      <c r="M10" s="129">
        <v>0</v>
      </c>
      <c r="N10" s="135">
        <v>0</v>
      </c>
      <c r="O10" s="30" t="e">
        <v>#DIV/0!</v>
      </c>
      <c r="P10" s="30" t="e">
        <v>#DIV/0!</v>
      </c>
      <c r="Q10" s="30" t="e">
        <v>#DIV/0!</v>
      </c>
      <c r="R10" s="30" t="e">
        <v>#DIV/0!</v>
      </c>
      <c r="S10" s="30" t="e">
        <v>#DIV/0!</v>
      </c>
      <c r="T10" s="30" t="e">
        <v>#DIV/0!</v>
      </c>
      <c r="U10" s="30" t="e">
        <v>#DIV/0!</v>
      </c>
      <c r="V10" s="30" t="e">
        <v>#DIV/0!</v>
      </c>
      <c r="W10" s="30" t="e">
        <v>#DIV/0!</v>
      </c>
      <c r="X10" s="30" t="e">
        <v>#DIV/0!</v>
      </c>
      <c r="Y10" s="30" t="e">
        <v>#DIV/0!</v>
      </c>
      <c r="Z10" s="30" t="e">
        <v>#DIV/0!</v>
      </c>
    </row>
    <row r="11" spans="1:26" x14ac:dyDescent="0.2">
      <c r="A11" s="16" t="s">
        <v>49</v>
      </c>
      <c r="B11" s="16" t="s">
        <v>22</v>
      </c>
      <c r="C11" s="128">
        <v>0</v>
      </c>
      <c r="D11" s="129">
        <v>0</v>
      </c>
      <c r="E11" s="129">
        <v>0</v>
      </c>
      <c r="F11" s="128">
        <v>0</v>
      </c>
      <c r="G11" s="129">
        <v>0</v>
      </c>
      <c r="H11" s="129">
        <v>0</v>
      </c>
      <c r="I11" s="128">
        <v>0</v>
      </c>
      <c r="J11" s="129">
        <v>0</v>
      </c>
      <c r="K11" s="129">
        <v>0</v>
      </c>
      <c r="L11" s="128">
        <v>0</v>
      </c>
      <c r="M11" s="129">
        <v>0</v>
      </c>
      <c r="N11" s="135">
        <v>0</v>
      </c>
      <c r="O11" s="30" t="e">
        <v>#DIV/0!</v>
      </c>
      <c r="P11" s="30" t="e">
        <v>#DIV/0!</v>
      </c>
      <c r="Q11" s="30" t="e">
        <v>#DIV/0!</v>
      </c>
      <c r="R11" s="30" t="e">
        <v>#DIV/0!</v>
      </c>
      <c r="S11" s="30" t="e">
        <v>#DIV/0!</v>
      </c>
      <c r="T11" s="30" t="e">
        <v>#DIV/0!</v>
      </c>
      <c r="U11" s="30" t="e">
        <v>#DIV/0!</v>
      </c>
      <c r="V11" s="30" t="e">
        <v>#DIV/0!</v>
      </c>
      <c r="W11" s="30" t="e">
        <v>#DIV/0!</v>
      </c>
      <c r="X11" s="30" t="e">
        <v>#DIV/0!</v>
      </c>
      <c r="Y11" s="30" t="e">
        <v>#DIV/0!</v>
      </c>
      <c r="Z11" s="30" t="e">
        <v>#DIV/0!</v>
      </c>
    </row>
    <row r="12" spans="1:26" x14ac:dyDescent="0.2">
      <c r="A12" s="25" t="s">
        <v>53</v>
      </c>
      <c r="B12" s="25" t="s">
        <v>10</v>
      </c>
      <c r="C12" s="128">
        <v>0</v>
      </c>
      <c r="D12" s="129">
        <v>0</v>
      </c>
      <c r="E12" s="129">
        <v>0</v>
      </c>
      <c r="F12" s="128">
        <v>0</v>
      </c>
      <c r="G12" s="129">
        <v>0</v>
      </c>
      <c r="H12" s="129">
        <v>0</v>
      </c>
      <c r="I12" s="128">
        <v>0</v>
      </c>
      <c r="J12" s="129">
        <v>0</v>
      </c>
      <c r="K12" s="129">
        <v>0</v>
      </c>
      <c r="L12" s="128">
        <v>0</v>
      </c>
      <c r="M12" s="129">
        <v>0</v>
      </c>
      <c r="N12" s="135">
        <v>0</v>
      </c>
      <c r="O12" s="30" t="e">
        <v>#DIV/0!</v>
      </c>
      <c r="P12" s="30" t="e">
        <v>#DIV/0!</v>
      </c>
      <c r="Q12" s="30" t="e">
        <v>#DIV/0!</v>
      </c>
      <c r="R12" s="30" t="e">
        <v>#DIV/0!</v>
      </c>
      <c r="S12" s="30" t="e">
        <v>#DIV/0!</v>
      </c>
      <c r="T12" s="30" t="e">
        <v>#DIV/0!</v>
      </c>
      <c r="U12" s="30" t="e">
        <v>#DIV/0!</v>
      </c>
      <c r="V12" s="30" t="e">
        <v>#DIV/0!</v>
      </c>
      <c r="W12" s="30" t="e">
        <v>#DIV/0!</v>
      </c>
      <c r="X12" s="30" t="e">
        <v>#DIV/0!</v>
      </c>
      <c r="Y12" s="30" t="e">
        <v>#DIV/0!</v>
      </c>
      <c r="Z12" s="30" t="e">
        <v>#DIV/0!</v>
      </c>
    </row>
    <row r="13" spans="1:26" x14ac:dyDescent="0.2">
      <c r="A13" s="25" t="s">
        <v>48</v>
      </c>
      <c r="B13" s="25" t="s">
        <v>10</v>
      </c>
      <c r="C13" s="128">
        <v>0</v>
      </c>
      <c r="D13" s="129">
        <v>0</v>
      </c>
      <c r="E13" s="129">
        <v>0</v>
      </c>
      <c r="F13" s="128">
        <v>0</v>
      </c>
      <c r="G13" s="129">
        <v>0</v>
      </c>
      <c r="H13" s="129">
        <v>0</v>
      </c>
      <c r="I13" s="128">
        <v>0</v>
      </c>
      <c r="J13" s="129">
        <v>0</v>
      </c>
      <c r="K13" s="129">
        <v>0</v>
      </c>
      <c r="L13" s="128">
        <v>0</v>
      </c>
      <c r="M13" s="129">
        <v>0</v>
      </c>
      <c r="N13" s="135">
        <v>0</v>
      </c>
      <c r="O13" s="30" t="e">
        <v>#DIV/0!</v>
      </c>
      <c r="P13" s="30" t="e">
        <v>#DIV/0!</v>
      </c>
      <c r="Q13" s="30" t="e">
        <v>#DIV/0!</v>
      </c>
      <c r="R13" s="30" t="e">
        <v>#DIV/0!</v>
      </c>
      <c r="S13" s="30" t="e">
        <v>#DIV/0!</v>
      </c>
      <c r="T13" s="30" t="e">
        <v>#DIV/0!</v>
      </c>
      <c r="U13" s="30" t="e">
        <v>#DIV/0!</v>
      </c>
      <c r="V13" s="30" t="e">
        <v>#DIV/0!</v>
      </c>
      <c r="W13" s="30" t="e">
        <v>#DIV/0!</v>
      </c>
      <c r="X13" s="30" t="e">
        <v>#DIV/0!</v>
      </c>
      <c r="Y13" s="30" t="e">
        <v>#DIV/0!</v>
      </c>
      <c r="Z13" s="30" t="e">
        <v>#DIV/0!</v>
      </c>
    </row>
    <row r="14" spans="1:26" x14ac:dyDescent="0.2">
      <c r="A14" s="15" t="s">
        <v>54</v>
      </c>
      <c r="B14" s="15" t="s">
        <v>10</v>
      </c>
      <c r="C14" s="128">
        <v>0</v>
      </c>
      <c r="D14" s="129">
        <v>0</v>
      </c>
      <c r="E14" s="129">
        <v>0</v>
      </c>
      <c r="F14" s="128">
        <v>0</v>
      </c>
      <c r="G14" s="129">
        <v>0</v>
      </c>
      <c r="H14" s="129">
        <v>0</v>
      </c>
      <c r="I14" s="128">
        <v>0</v>
      </c>
      <c r="J14" s="129">
        <v>0</v>
      </c>
      <c r="K14" s="129">
        <v>0</v>
      </c>
      <c r="L14" s="128">
        <v>0</v>
      </c>
      <c r="M14" s="129">
        <v>0</v>
      </c>
      <c r="N14" s="135">
        <v>0</v>
      </c>
      <c r="O14" s="30" t="e">
        <v>#DIV/0!</v>
      </c>
      <c r="P14" s="30" t="e">
        <v>#DIV/0!</v>
      </c>
      <c r="Q14" s="30" t="e">
        <v>#DIV/0!</v>
      </c>
      <c r="R14" s="30" t="e">
        <v>#DIV/0!</v>
      </c>
      <c r="S14" s="30" t="e">
        <v>#DIV/0!</v>
      </c>
      <c r="T14" s="30" t="e">
        <v>#DIV/0!</v>
      </c>
      <c r="U14" s="30" t="e">
        <v>#DIV/0!</v>
      </c>
      <c r="V14" s="30" t="e">
        <v>#DIV/0!</v>
      </c>
      <c r="W14" s="30" t="e">
        <v>#DIV/0!</v>
      </c>
      <c r="X14" s="30" t="e">
        <v>#DIV/0!</v>
      </c>
      <c r="Y14" s="30" t="e">
        <v>#DIV/0!</v>
      </c>
      <c r="Z14" s="30" t="e">
        <v>#DIV/0!</v>
      </c>
    </row>
    <row r="15" spans="1:26" x14ac:dyDescent="0.2">
      <c r="A15" s="15" t="s">
        <v>55</v>
      </c>
      <c r="B15" s="15" t="s">
        <v>43</v>
      </c>
      <c r="C15" s="128">
        <v>0</v>
      </c>
      <c r="D15" s="129">
        <v>0</v>
      </c>
      <c r="E15" s="129">
        <v>0</v>
      </c>
      <c r="F15" s="128">
        <v>0</v>
      </c>
      <c r="G15" s="129">
        <v>0</v>
      </c>
      <c r="H15" s="129">
        <v>0</v>
      </c>
      <c r="I15" s="128">
        <v>0</v>
      </c>
      <c r="J15" s="129">
        <v>0</v>
      </c>
      <c r="K15" s="129">
        <v>0</v>
      </c>
      <c r="L15" s="128">
        <v>0</v>
      </c>
      <c r="M15" s="129">
        <v>0</v>
      </c>
      <c r="N15" s="135">
        <v>0</v>
      </c>
      <c r="O15" s="30" t="e">
        <v>#DIV/0!</v>
      </c>
      <c r="P15" s="30" t="e">
        <v>#DIV/0!</v>
      </c>
      <c r="Q15" s="30" t="e">
        <v>#DIV/0!</v>
      </c>
      <c r="R15" s="30" t="e">
        <v>#DIV/0!</v>
      </c>
      <c r="S15" s="30" t="e">
        <v>#DIV/0!</v>
      </c>
      <c r="T15" s="30" t="e">
        <v>#DIV/0!</v>
      </c>
      <c r="U15" s="30" t="e">
        <v>#DIV/0!</v>
      </c>
      <c r="V15" s="30" t="e">
        <v>#DIV/0!</v>
      </c>
      <c r="W15" s="30" t="e">
        <v>#DIV/0!</v>
      </c>
      <c r="X15" s="30" t="e">
        <v>#DIV/0!</v>
      </c>
      <c r="Y15" s="30" t="e">
        <v>#DIV/0!</v>
      </c>
      <c r="Z15" s="30" t="e">
        <v>#DIV/0!</v>
      </c>
    </row>
    <row r="16" spans="1:26" x14ac:dyDescent="0.2">
      <c r="A16" s="15" t="s">
        <v>56</v>
      </c>
      <c r="B16" s="15" t="s">
        <v>43</v>
      </c>
      <c r="C16" s="128">
        <v>0</v>
      </c>
      <c r="D16" s="129">
        <v>0</v>
      </c>
      <c r="E16" s="129">
        <v>0</v>
      </c>
      <c r="F16" s="128">
        <v>0</v>
      </c>
      <c r="G16" s="129">
        <v>0</v>
      </c>
      <c r="H16" s="129">
        <v>0</v>
      </c>
      <c r="I16" s="128">
        <v>0</v>
      </c>
      <c r="J16" s="129">
        <v>0</v>
      </c>
      <c r="K16" s="129">
        <v>0</v>
      </c>
      <c r="L16" s="128">
        <v>0</v>
      </c>
      <c r="M16" s="129">
        <v>0</v>
      </c>
      <c r="N16" s="135">
        <v>0</v>
      </c>
      <c r="O16" s="30" t="e">
        <v>#DIV/0!</v>
      </c>
      <c r="P16" s="30" t="e">
        <v>#DIV/0!</v>
      </c>
      <c r="Q16" s="30" t="e">
        <v>#DIV/0!</v>
      </c>
      <c r="R16" s="30" t="e">
        <v>#DIV/0!</v>
      </c>
      <c r="S16" s="30" t="e">
        <v>#DIV/0!</v>
      </c>
      <c r="T16" s="30" t="e">
        <v>#DIV/0!</v>
      </c>
      <c r="U16" s="30" t="e">
        <v>#DIV/0!</v>
      </c>
      <c r="V16" s="30" t="e">
        <v>#DIV/0!</v>
      </c>
      <c r="W16" s="30" t="e">
        <v>#DIV/0!</v>
      </c>
      <c r="X16" s="30" t="e">
        <v>#DIV/0!</v>
      </c>
      <c r="Y16" s="30" t="e">
        <v>#DIV/0!</v>
      </c>
      <c r="Z16" s="30" t="e">
        <v>#DIV/0!</v>
      </c>
    </row>
    <row r="17" spans="1:26" x14ac:dyDescent="0.2">
      <c r="A17" s="5" t="s">
        <v>18</v>
      </c>
      <c r="B17" s="5" t="s">
        <v>10</v>
      </c>
      <c r="C17" s="128">
        <v>0</v>
      </c>
      <c r="D17" s="129">
        <v>0</v>
      </c>
      <c r="E17" s="129">
        <v>0</v>
      </c>
      <c r="F17" s="128">
        <v>0</v>
      </c>
      <c r="G17" s="129">
        <v>0</v>
      </c>
      <c r="H17" s="129">
        <v>0</v>
      </c>
      <c r="I17" s="128">
        <v>0</v>
      </c>
      <c r="J17" s="129">
        <v>0</v>
      </c>
      <c r="K17" s="129">
        <v>0</v>
      </c>
      <c r="L17" s="128">
        <v>0</v>
      </c>
      <c r="M17" s="129">
        <v>0</v>
      </c>
      <c r="N17" s="135">
        <v>0</v>
      </c>
      <c r="O17" s="30" t="e">
        <v>#DIV/0!</v>
      </c>
      <c r="P17" s="30" t="e">
        <v>#DIV/0!</v>
      </c>
      <c r="Q17" s="30" t="e">
        <v>#DIV/0!</v>
      </c>
      <c r="R17" s="30" t="e">
        <v>#DIV/0!</v>
      </c>
      <c r="S17" s="30" t="e">
        <v>#DIV/0!</v>
      </c>
      <c r="T17" s="30" t="e">
        <v>#DIV/0!</v>
      </c>
      <c r="U17" s="30" t="e">
        <v>#DIV/0!</v>
      </c>
      <c r="V17" s="30" t="e">
        <v>#DIV/0!</v>
      </c>
      <c r="W17" s="30" t="e">
        <v>#DIV/0!</v>
      </c>
      <c r="X17" s="30" t="e">
        <v>#DIV/0!</v>
      </c>
      <c r="Y17" s="30" t="e">
        <v>#DIV/0!</v>
      </c>
      <c r="Z17" s="30" t="e">
        <v>#DIV/0!</v>
      </c>
    </row>
    <row r="18" spans="1:26" x14ac:dyDescent="0.2">
      <c r="A18" s="5" t="s">
        <v>19</v>
      </c>
      <c r="B18" s="5" t="s">
        <v>11</v>
      </c>
      <c r="C18" s="128">
        <v>0</v>
      </c>
      <c r="D18" s="129">
        <v>0</v>
      </c>
      <c r="E18" s="129">
        <v>0</v>
      </c>
      <c r="F18" s="128">
        <v>0</v>
      </c>
      <c r="G18" s="129">
        <v>0</v>
      </c>
      <c r="H18" s="129">
        <v>0</v>
      </c>
      <c r="I18" s="128">
        <v>0</v>
      </c>
      <c r="J18" s="129">
        <v>0</v>
      </c>
      <c r="K18" s="129">
        <v>0</v>
      </c>
      <c r="L18" s="128">
        <v>0</v>
      </c>
      <c r="M18" s="129">
        <v>0</v>
      </c>
      <c r="N18" s="135">
        <v>0</v>
      </c>
      <c r="O18" s="30" t="e">
        <v>#DIV/0!</v>
      </c>
      <c r="P18" s="30" t="e">
        <v>#DIV/0!</v>
      </c>
      <c r="Q18" s="30" t="e">
        <v>#DIV/0!</v>
      </c>
      <c r="R18" s="30" t="e">
        <v>#DIV/0!</v>
      </c>
      <c r="S18" s="30" t="e">
        <v>#DIV/0!</v>
      </c>
      <c r="T18" s="30" t="e">
        <v>#DIV/0!</v>
      </c>
      <c r="U18" s="30" t="e">
        <v>#DIV/0!</v>
      </c>
      <c r="V18" s="30" t="e">
        <v>#DIV/0!</v>
      </c>
      <c r="W18" s="30" t="e">
        <v>#DIV/0!</v>
      </c>
      <c r="X18" s="30" t="e">
        <v>#DIV/0!</v>
      </c>
      <c r="Y18" s="30" t="e">
        <v>#DIV/0!</v>
      </c>
      <c r="Z18" s="30" t="e">
        <v>#DIV/0!</v>
      </c>
    </row>
    <row r="19" spans="1:26" x14ac:dyDescent="0.2">
      <c r="A19" s="5" t="s">
        <v>20</v>
      </c>
      <c r="B19" s="5" t="s">
        <v>11</v>
      </c>
      <c r="C19" s="128">
        <v>0</v>
      </c>
      <c r="D19" s="129">
        <v>0</v>
      </c>
      <c r="E19" s="129">
        <v>0</v>
      </c>
      <c r="F19" s="128">
        <v>0</v>
      </c>
      <c r="G19" s="129">
        <v>0</v>
      </c>
      <c r="H19" s="129">
        <v>0</v>
      </c>
      <c r="I19" s="128">
        <v>0</v>
      </c>
      <c r="J19" s="129">
        <v>0</v>
      </c>
      <c r="K19" s="129">
        <v>0</v>
      </c>
      <c r="L19" s="128">
        <v>0</v>
      </c>
      <c r="M19" s="129">
        <v>0</v>
      </c>
      <c r="N19" s="135">
        <v>0</v>
      </c>
      <c r="O19" s="30" t="e">
        <v>#DIV/0!</v>
      </c>
      <c r="P19" s="30" t="e">
        <v>#DIV/0!</v>
      </c>
      <c r="Q19" s="30" t="e">
        <v>#DIV/0!</v>
      </c>
      <c r="R19" s="30" t="e">
        <v>#DIV/0!</v>
      </c>
      <c r="S19" s="30" t="e">
        <v>#DIV/0!</v>
      </c>
      <c r="T19" s="30" t="e">
        <v>#DIV/0!</v>
      </c>
      <c r="U19" s="30" t="e">
        <v>#DIV/0!</v>
      </c>
      <c r="V19" s="30" t="e">
        <v>#DIV/0!</v>
      </c>
      <c r="W19" s="30" t="e">
        <v>#DIV/0!</v>
      </c>
      <c r="X19" s="30" t="e">
        <v>#DIV/0!</v>
      </c>
      <c r="Y19" s="30" t="e">
        <v>#DIV/0!</v>
      </c>
      <c r="Z19" s="30" t="e">
        <v>#DIV/0!</v>
      </c>
    </row>
    <row r="20" spans="1:26" x14ac:dyDescent="0.2">
      <c r="A20" s="5" t="s">
        <v>21</v>
      </c>
      <c r="B20" s="5" t="s">
        <v>11</v>
      </c>
      <c r="C20" s="128">
        <v>0</v>
      </c>
      <c r="D20" s="129">
        <v>0</v>
      </c>
      <c r="E20" s="129">
        <v>0</v>
      </c>
      <c r="F20" s="128">
        <v>0</v>
      </c>
      <c r="G20" s="129">
        <v>0</v>
      </c>
      <c r="H20" s="129">
        <v>0</v>
      </c>
      <c r="I20" s="128">
        <v>0</v>
      </c>
      <c r="J20" s="129">
        <v>0</v>
      </c>
      <c r="K20" s="129">
        <v>0</v>
      </c>
      <c r="L20" s="128">
        <v>0</v>
      </c>
      <c r="M20" s="129">
        <v>0</v>
      </c>
      <c r="N20" s="135">
        <v>0</v>
      </c>
      <c r="O20" s="30" t="e">
        <v>#DIV/0!</v>
      </c>
      <c r="P20" s="30" t="e">
        <v>#DIV/0!</v>
      </c>
      <c r="Q20" s="30" t="e">
        <v>#DIV/0!</v>
      </c>
      <c r="R20" s="30" t="e">
        <v>#DIV/0!</v>
      </c>
      <c r="S20" s="30" t="e">
        <v>#DIV/0!</v>
      </c>
      <c r="T20" s="30" t="e">
        <v>#DIV/0!</v>
      </c>
      <c r="U20" s="30" t="e">
        <v>#DIV/0!</v>
      </c>
      <c r="V20" s="30" t="e">
        <v>#DIV/0!</v>
      </c>
      <c r="W20" s="30" t="e">
        <v>#DIV/0!</v>
      </c>
      <c r="X20" s="30" t="e">
        <v>#DIV/0!</v>
      </c>
      <c r="Y20" s="30" t="e">
        <v>#DIV/0!</v>
      </c>
      <c r="Z20" s="30" t="e">
        <v>#DIV/0!</v>
      </c>
    </row>
    <row r="21" spans="1:26" x14ac:dyDescent="0.2">
      <c r="A21" s="5" t="s">
        <v>50</v>
      </c>
      <c r="B21" s="5" t="s">
        <v>43</v>
      </c>
      <c r="C21" s="128">
        <v>0</v>
      </c>
      <c r="D21" s="129">
        <v>0</v>
      </c>
      <c r="E21" s="129">
        <v>0</v>
      </c>
      <c r="F21" s="128">
        <v>0</v>
      </c>
      <c r="G21" s="129">
        <v>0</v>
      </c>
      <c r="H21" s="129">
        <v>0</v>
      </c>
      <c r="I21" s="128">
        <v>0</v>
      </c>
      <c r="J21" s="129">
        <v>0</v>
      </c>
      <c r="K21" s="129">
        <v>0</v>
      </c>
      <c r="L21" s="128">
        <v>0</v>
      </c>
      <c r="M21" s="129">
        <v>0</v>
      </c>
      <c r="N21" s="135">
        <v>0</v>
      </c>
      <c r="O21" s="30" t="e">
        <v>#DIV/0!</v>
      </c>
      <c r="P21" s="30" t="e">
        <v>#DIV/0!</v>
      </c>
      <c r="Q21" s="30" t="e">
        <v>#DIV/0!</v>
      </c>
      <c r="R21" s="30" t="e">
        <v>#DIV/0!</v>
      </c>
      <c r="S21" s="30" t="e">
        <v>#DIV/0!</v>
      </c>
      <c r="T21" s="30" t="e">
        <v>#DIV/0!</v>
      </c>
      <c r="U21" s="30" t="e">
        <v>#DIV/0!</v>
      </c>
      <c r="V21" s="30" t="e">
        <v>#DIV/0!</v>
      </c>
      <c r="W21" s="30" t="e">
        <v>#DIV/0!</v>
      </c>
      <c r="X21" s="30" t="e">
        <v>#DIV/0!</v>
      </c>
      <c r="Y21" s="30" t="e">
        <v>#DIV/0!</v>
      </c>
      <c r="Z21" s="30" t="e">
        <v>#DIV/0!</v>
      </c>
    </row>
    <row r="22" spans="1:26" x14ac:dyDescent="0.2">
      <c r="A22" s="5" t="s">
        <v>32</v>
      </c>
      <c r="B22" s="5" t="s">
        <v>43</v>
      </c>
      <c r="C22" s="128">
        <v>0</v>
      </c>
      <c r="D22" s="129">
        <v>0</v>
      </c>
      <c r="E22" s="129">
        <v>0</v>
      </c>
      <c r="F22" s="128">
        <v>0</v>
      </c>
      <c r="G22" s="129">
        <v>0</v>
      </c>
      <c r="H22" s="129">
        <v>0</v>
      </c>
      <c r="I22" s="128">
        <v>0</v>
      </c>
      <c r="J22" s="129">
        <v>0</v>
      </c>
      <c r="K22" s="129">
        <v>0</v>
      </c>
      <c r="L22" s="128">
        <v>0</v>
      </c>
      <c r="M22" s="129">
        <v>0</v>
      </c>
      <c r="N22" s="135">
        <v>0</v>
      </c>
      <c r="O22" s="30" t="e">
        <v>#DIV/0!</v>
      </c>
      <c r="P22" s="30" t="e">
        <v>#DIV/0!</v>
      </c>
      <c r="Q22" s="30" t="e">
        <v>#DIV/0!</v>
      </c>
      <c r="R22" s="30" t="e">
        <v>#DIV/0!</v>
      </c>
      <c r="S22" s="30" t="e">
        <v>#DIV/0!</v>
      </c>
      <c r="T22" s="30" t="e">
        <v>#DIV/0!</v>
      </c>
      <c r="U22" s="30" t="e">
        <v>#DIV/0!</v>
      </c>
      <c r="V22" s="30" t="e">
        <v>#DIV/0!</v>
      </c>
      <c r="W22" s="30" t="e">
        <v>#DIV/0!</v>
      </c>
      <c r="X22" s="30" t="e">
        <v>#DIV/0!</v>
      </c>
      <c r="Y22" s="30" t="e">
        <v>#DIV/0!</v>
      </c>
      <c r="Z22" s="30" t="e">
        <v>#DIV/0!</v>
      </c>
    </row>
    <row r="23" spans="1:26" x14ac:dyDescent="0.2">
      <c r="A23" s="5" t="s">
        <v>33</v>
      </c>
      <c r="B23" s="5" t="s">
        <v>43</v>
      </c>
      <c r="C23" s="128">
        <v>0</v>
      </c>
      <c r="D23" s="129">
        <v>0</v>
      </c>
      <c r="E23" s="129">
        <v>0</v>
      </c>
      <c r="F23" s="128">
        <v>0</v>
      </c>
      <c r="G23" s="129">
        <v>0</v>
      </c>
      <c r="H23" s="129">
        <v>0</v>
      </c>
      <c r="I23" s="128">
        <v>0</v>
      </c>
      <c r="J23" s="129">
        <v>0</v>
      </c>
      <c r="K23" s="129">
        <v>0</v>
      </c>
      <c r="L23" s="128">
        <v>0</v>
      </c>
      <c r="M23" s="129">
        <v>0</v>
      </c>
      <c r="N23" s="135">
        <v>0</v>
      </c>
      <c r="O23" s="30" t="e">
        <v>#DIV/0!</v>
      </c>
      <c r="P23" s="30" t="e">
        <v>#DIV/0!</v>
      </c>
      <c r="Q23" s="30" t="e">
        <v>#DIV/0!</v>
      </c>
      <c r="R23" s="30" t="e">
        <v>#DIV/0!</v>
      </c>
      <c r="S23" s="30" t="e">
        <v>#DIV/0!</v>
      </c>
      <c r="T23" s="30" t="e">
        <v>#DIV/0!</v>
      </c>
      <c r="U23" s="30" t="e">
        <v>#DIV/0!</v>
      </c>
      <c r="V23" s="30" t="e">
        <v>#DIV/0!</v>
      </c>
      <c r="W23" s="30" t="e">
        <v>#DIV/0!</v>
      </c>
      <c r="X23" s="30" t="e">
        <v>#DIV/0!</v>
      </c>
      <c r="Y23" s="30" t="e">
        <v>#DIV/0!</v>
      </c>
      <c r="Z23" s="30" t="e">
        <v>#DIV/0!</v>
      </c>
    </row>
    <row r="24" spans="1:26" x14ac:dyDescent="0.2">
      <c r="A24" s="5" t="s">
        <v>34</v>
      </c>
      <c r="B24" s="5" t="s">
        <v>43</v>
      </c>
      <c r="C24" s="128">
        <v>0</v>
      </c>
      <c r="D24" s="129">
        <v>0</v>
      </c>
      <c r="E24" s="129">
        <v>0</v>
      </c>
      <c r="F24" s="128">
        <v>0</v>
      </c>
      <c r="G24" s="129">
        <v>0</v>
      </c>
      <c r="H24" s="129">
        <v>0</v>
      </c>
      <c r="I24" s="128">
        <v>0</v>
      </c>
      <c r="J24" s="129">
        <v>0</v>
      </c>
      <c r="K24" s="129">
        <v>0</v>
      </c>
      <c r="L24" s="128">
        <v>0</v>
      </c>
      <c r="M24" s="129">
        <v>0</v>
      </c>
      <c r="N24" s="135">
        <v>0</v>
      </c>
      <c r="O24" s="30" t="e">
        <v>#DIV/0!</v>
      </c>
      <c r="P24" s="30" t="e">
        <v>#DIV/0!</v>
      </c>
      <c r="Q24" s="30" t="e">
        <v>#DIV/0!</v>
      </c>
      <c r="R24" s="30" t="e">
        <v>#DIV/0!</v>
      </c>
      <c r="S24" s="30" t="e">
        <v>#DIV/0!</v>
      </c>
      <c r="T24" s="30" t="e">
        <v>#DIV/0!</v>
      </c>
      <c r="U24" s="30" t="e">
        <v>#DIV/0!</v>
      </c>
      <c r="V24" s="30" t="e">
        <v>#DIV/0!</v>
      </c>
      <c r="W24" s="30" t="e">
        <v>#DIV/0!</v>
      </c>
      <c r="X24" s="30" t="e">
        <v>#DIV/0!</v>
      </c>
      <c r="Y24" s="30" t="e">
        <v>#DIV/0!</v>
      </c>
      <c r="Z24" s="30" t="e">
        <v>#DIV/0!</v>
      </c>
    </row>
    <row r="25" spans="1:26" x14ac:dyDescent="0.2">
      <c r="A25" s="5" t="s">
        <v>35</v>
      </c>
      <c r="B25" s="5" t="s">
        <v>43</v>
      </c>
      <c r="C25" s="128">
        <v>0</v>
      </c>
      <c r="D25" s="129">
        <v>0</v>
      </c>
      <c r="E25" s="129">
        <v>0</v>
      </c>
      <c r="F25" s="128">
        <v>0</v>
      </c>
      <c r="G25" s="129">
        <v>0</v>
      </c>
      <c r="H25" s="129">
        <v>0</v>
      </c>
      <c r="I25" s="128">
        <v>0</v>
      </c>
      <c r="J25" s="129">
        <v>0</v>
      </c>
      <c r="K25" s="129">
        <v>0</v>
      </c>
      <c r="L25" s="128">
        <v>0</v>
      </c>
      <c r="M25" s="129">
        <v>0</v>
      </c>
      <c r="N25" s="135">
        <v>0</v>
      </c>
      <c r="O25" s="30" t="e">
        <v>#DIV/0!</v>
      </c>
      <c r="P25" s="30" t="e">
        <v>#DIV/0!</v>
      </c>
      <c r="Q25" s="30" t="e">
        <v>#DIV/0!</v>
      </c>
      <c r="R25" s="30" t="e">
        <v>#DIV/0!</v>
      </c>
      <c r="S25" s="30" t="e">
        <v>#DIV/0!</v>
      </c>
      <c r="T25" s="30" t="e">
        <v>#DIV/0!</v>
      </c>
      <c r="U25" s="30" t="e">
        <v>#DIV/0!</v>
      </c>
      <c r="V25" s="30" t="e">
        <v>#DIV/0!</v>
      </c>
      <c r="W25" s="30" t="e">
        <v>#DIV/0!</v>
      </c>
      <c r="X25" s="30" t="e">
        <v>#DIV/0!</v>
      </c>
      <c r="Y25" s="30" t="e">
        <v>#DIV/0!</v>
      </c>
      <c r="Z25" s="30" t="e">
        <v>#DIV/0!</v>
      </c>
    </row>
    <row r="26" spans="1:26" x14ac:dyDescent="0.2">
      <c r="A26" s="5" t="s">
        <v>36</v>
      </c>
      <c r="B26" s="5" t="s">
        <v>43</v>
      </c>
      <c r="C26" s="128">
        <v>0</v>
      </c>
      <c r="D26" s="129">
        <v>0</v>
      </c>
      <c r="E26" s="129">
        <v>0</v>
      </c>
      <c r="F26" s="128">
        <v>0</v>
      </c>
      <c r="G26" s="129">
        <v>0</v>
      </c>
      <c r="H26" s="129">
        <v>0</v>
      </c>
      <c r="I26" s="128">
        <v>0</v>
      </c>
      <c r="J26" s="129">
        <v>0</v>
      </c>
      <c r="K26" s="129">
        <v>0</v>
      </c>
      <c r="L26" s="128">
        <v>0</v>
      </c>
      <c r="M26" s="129">
        <v>0</v>
      </c>
      <c r="N26" s="135">
        <v>0</v>
      </c>
      <c r="O26" s="30" t="e">
        <v>#DIV/0!</v>
      </c>
      <c r="P26" s="30" t="e">
        <v>#DIV/0!</v>
      </c>
      <c r="Q26" s="30" t="e">
        <v>#DIV/0!</v>
      </c>
      <c r="R26" s="30" t="e">
        <v>#DIV/0!</v>
      </c>
      <c r="S26" s="30" t="e">
        <v>#DIV/0!</v>
      </c>
      <c r="T26" s="30" t="e">
        <v>#DIV/0!</v>
      </c>
      <c r="U26" s="30" t="e">
        <v>#DIV/0!</v>
      </c>
      <c r="V26" s="30" t="e">
        <v>#DIV/0!</v>
      </c>
      <c r="W26" s="30" t="e">
        <v>#DIV/0!</v>
      </c>
      <c r="X26" s="30" t="e">
        <v>#DIV/0!</v>
      </c>
      <c r="Y26" s="30" t="e">
        <v>#DIV/0!</v>
      </c>
      <c r="Z26" s="30" t="e">
        <v>#DIV/0!</v>
      </c>
    </row>
    <row r="27" spans="1:26" x14ac:dyDescent="0.2">
      <c r="A27" s="5" t="s">
        <v>37</v>
      </c>
      <c r="B27" s="5" t="s">
        <v>43</v>
      </c>
      <c r="C27" s="128">
        <v>0</v>
      </c>
      <c r="D27" s="129">
        <v>0</v>
      </c>
      <c r="E27" s="129">
        <v>0</v>
      </c>
      <c r="F27" s="128">
        <v>0</v>
      </c>
      <c r="G27" s="129">
        <v>0</v>
      </c>
      <c r="H27" s="129">
        <v>0</v>
      </c>
      <c r="I27" s="128">
        <v>0</v>
      </c>
      <c r="J27" s="129">
        <v>0</v>
      </c>
      <c r="K27" s="129">
        <v>0</v>
      </c>
      <c r="L27" s="128">
        <v>0</v>
      </c>
      <c r="M27" s="129">
        <v>0</v>
      </c>
      <c r="N27" s="135">
        <v>0</v>
      </c>
      <c r="O27" s="30" t="e">
        <v>#DIV/0!</v>
      </c>
      <c r="P27" s="30" t="e">
        <v>#DIV/0!</v>
      </c>
      <c r="Q27" s="30" t="e">
        <v>#DIV/0!</v>
      </c>
      <c r="R27" s="30" t="e">
        <v>#DIV/0!</v>
      </c>
      <c r="S27" s="30" t="e">
        <v>#DIV/0!</v>
      </c>
      <c r="T27" s="30" t="e">
        <v>#DIV/0!</v>
      </c>
      <c r="U27" s="30" t="e">
        <v>#DIV/0!</v>
      </c>
      <c r="V27" s="30" t="e">
        <v>#DIV/0!</v>
      </c>
      <c r="W27" s="30" t="e">
        <v>#DIV/0!</v>
      </c>
      <c r="X27" s="30" t="e">
        <v>#DIV/0!</v>
      </c>
      <c r="Y27" s="30" t="e">
        <v>#DIV/0!</v>
      </c>
      <c r="Z27" s="30" t="e">
        <v>#DIV/0!</v>
      </c>
    </row>
    <row r="28" spans="1:26" x14ac:dyDescent="0.2">
      <c r="A28" s="5" t="s">
        <v>38</v>
      </c>
      <c r="B28" s="5" t="s">
        <v>43</v>
      </c>
      <c r="C28" s="128">
        <v>0</v>
      </c>
      <c r="D28" s="129">
        <v>0</v>
      </c>
      <c r="E28" s="129">
        <v>0</v>
      </c>
      <c r="F28" s="128">
        <v>0</v>
      </c>
      <c r="G28" s="129">
        <v>0</v>
      </c>
      <c r="H28" s="129">
        <v>0</v>
      </c>
      <c r="I28" s="128">
        <v>0</v>
      </c>
      <c r="J28" s="129">
        <v>0</v>
      </c>
      <c r="K28" s="129">
        <v>0</v>
      </c>
      <c r="L28" s="128">
        <v>0</v>
      </c>
      <c r="M28" s="129">
        <v>0</v>
      </c>
      <c r="N28" s="135">
        <v>0</v>
      </c>
      <c r="O28" s="30" t="e">
        <v>#DIV/0!</v>
      </c>
      <c r="P28" s="30" t="e">
        <v>#DIV/0!</v>
      </c>
      <c r="Q28" s="30" t="e">
        <v>#DIV/0!</v>
      </c>
      <c r="R28" s="30" t="e">
        <v>#DIV/0!</v>
      </c>
      <c r="S28" s="30" t="e">
        <v>#DIV/0!</v>
      </c>
      <c r="T28" s="30" t="e">
        <v>#DIV/0!</v>
      </c>
      <c r="U28" s="30" t="e">
        <v>#DIV/0!</v>
      </c>
      <c r="V28" s="30" t="e">
        <v>#DIV/0!</v>
      </c>
      <c r="W28" s="30" t="e">
        <v>#DIV/0!</v>
      </c>
      <c r="X28" s="30" t="e">
        <v>#DIV/0!</v>
      </c>
      <c r="Y28" s="30" t="e">
        <v>#DIV/0!</v>
      </c>
      <c r="Z28" s="30" t="e">
        <v>#DIV/0!</v>
      </c>
    </row>
    <row r="29" spans="1:26" x14ac:dyDescent="0.2">
      <c r="A29" s="5" t="s">
        <v>39</v>
      </c>
      <c r="B29" s="5" t="s">
        <v>43</v>
      </c>
      <c r="C29" s="128">
        <v>0</v>
      </c>
      <c r="D29" s="129">
        <v>0</v>
      </c>
      <c r="E29" s="129">
        <v>0</v>
      </c>
      <c r="F29" s="128">
        <v>0</v>
      </c>
      <c r="G29" s="129">
        <v>0</v>
      </c>
      <c r="H29" s="129">
        <v>0</v>
      </c>
      <c r="I29" s="128">
        <v>0</v>
      </c>
      <c r="J29" s="129">
        <v>0</v>
      </c>
      <c r="K29" s="129">
        <v>0</v>
      </c>
      <c r="L29" s="128">
        <v>0</v>
      </c>
      <c r="M29" s="129">
        <v>0</v>
      </c>
      <c r="N29" s="135">
        <v>0</v>
      </c>
      <c r="O29" s="30" t="e">
        <v>#DIV/0!</v>
      </c>
      <c r="P29" s="30" t="e">
        <v>#DIV/0!</v>
      </c>
      <c r="Q29" s="30" t="e">
        <v>#DIV/0!</v>
      </c>
      <c r="R29" s="30" t="e">
        <v>#DIV/0!</v>
      </c>
      <c r="S29" s="30" t="e">
        <v>#DIV/0!</v>
      </c>
      <c r="T29" s="30" t="e">
        <v>#DIV/0!</v>
      </c>
      <c r="U29" s="30" t="e">
        <v>#DIV/0!</v>
      </c>
      <c r="V29" s="30" t="e">
        <v>#DIV/0!</v>
      </c>
      <c r="W29" s="30" t="e">
        <v>#DIV/0!</v>
      </c>
      <c r="X29" s="30" t="e">
        <v>#DIV/0!</v>
      </c>
      <c r="Y29" s="30" t="e">
        <v>#DIV/0!</v>
      </c>
      <c r="Z29" s="30" t="e">
        <v>#DIV/0!</v>
      </c>
    </row>
    <row r="30" spans="1:26" x14ac:dyDescent="0.2">
      <c r="A30" s="5" t="s">
        <v>40</v>
      </c>
      <c r="B30" s="5" t="s">
        <v>43</v>
      </c>
      <c r="C30" s="128">
        <v>0</v>
      </c>
      <c r="D30" s="129">
        <v>0</v>
      </c>
      <c r="E30" s="129">
        <v>0</v>
      </c>
      <c r="F30" s="128">
        <v>0</v>
      </c>
      <c r="G30" s="129">
        <v>0</v>
      </c>
      <c r="H30" s="129">
        <v>0</v>
      </c>
      <c r="I30" s="128">
        <v>0</v>
      </c>
      <c r="J30" s="129">
        <v>0</v>
      </c>
      <c r="K30" s="129">
        <v>0</v>
      </c>
      <c r="L30" s="128">
        <v>0</v>
      </c>
      <c r="M30" s="129">
        <v>0</v>
      </c>
      <c r="N30" s="135">
        <v>0</v>
      </c>
      <c r="O30" s="30" t="e">
        <v>#DIV/0!</v>
      </c>
      <c r="P30" s="30" t="e">
        <v>#DIV/0!</v>
      </c>
      <c r="Q30" s="30" t="e">
        <v>#DIV/0!</v>
      </c>
      <c r="R30" s="30" t="e">
        <v>#DIV/0!</v>
      </c>
      <c r="S30" s="30" t="e">
        <v>#DIV/0!</v>
      </c>
      <c r="T30" s="30" t="e">
        <v>#DIV/0!</v>
      </c>
      <c r="U30" s="30" t="e">
        <v>#DIV/0!</v>
      </c>
      <c r="V30" s="30" t="e">
        <v>#DIV/0!</v>
      </c>
      <c r="W30" s="30" t="e">
        <v>#DIV/0!</v>
      </c>
      <c r="X30" s="30" t="e">
        <v>#DIV/0!</v>
      </c>
      <c r="Y30" s="30" t="e">
        <v>#DIV/0!</v>
      </c>
      <c r="Z30" s="30" t="e">
        <v>#DIV/0!</v>
      </c>
    </row>
    <row r="31" spans="1:26" x14ac:dyDescent="0.2">
      <c r="A31" s="5" t="s">
        <v>41</v>
      </c>
      <c r="B31" s="5" t="s">
        <v>43</v>
      </c>
      <c r="C31" s="128">
        <v>0</v>
      </c>
      <c r="D31" s="129">
        <v>0</v>
      </c>
      <c r="E31" s="129">
        <v>0</v>
      </c>
      <c r="F31" s="128">
        <v>0</v>
      </c>
      <c r="G31" s="129">
        <v>0</v>
      </c>
      <c r="H31" s="129">
        <v>0</v>
      </c>
      <c r="I31" s="128">
        <v>0</v>
      </c>
      <c r="J31" s="129">
        <v>0</v>
      </c>
      <c r="K31" s="129">
        <v>0</v>
      </c>
      <c r="L31" s="128">
        <v>0</v>
      </c>
      <c r="M31" s="129">
        <v>0</v>
      </c>
      <c r="N31" s="135">
        <v>0</v>
      </c>
      <c r="O31" s="30" t="e">
        <v>#DIV/0!</v>
      </c>
      <c r="P31" s="30" t="e">
        <v>#DIV/0!</v>
      </c>
      <c r="Q31" s="30" t="e">
        <v>#DIV/0!</v>
      </c>
      <c r="R31" s="30" t="e">
        <v>#DIV/0!</v>
      </c>
      <c r="S31" s="30" t="e">
        <v>#DIV/0!</v>
      </c>
      <c r="T31" s="30" t="e">
        <v>#DIV/0!</v>
      </c>
      <c r="U31" s="30" t="e">
        <v>#DIV/0!</v>
      </c>
      <c r="V31" s="30" t="e">
        <v>#DIV/0!</v>
      </c>
      <c r="W31" s="30" t="e">
        <v>#DIV/0!</v>
      </c>
      <c r="X31" s="30" t="e">
        <v>#DIV/0!</v>
      </c>
      <c r="Y31" s="30" t="e">
        <v>#DIV/0!</v>
      </c>
      <c r="Z31" s="30" t="e">
        <v>#DIV/0!</v>
      </c>
    </row>
    <row r="32" spans="1:26" x14ac:dyDescent="0.2">
      <c r="A32" s="5" t="s">
        <v>42</v>
      </c>
      <c r="B32" s="5" t="s">
        <v>43</v>
      </c>
      <c r="C32" s="128">
        <v>0</v>
      </c>
      <c r="D32" s="129">
        <v>0</v>
      </c>
      <c r="E32" s="129">
        <v>0</v>
      </c>
      <c r="F32" s="128">
        <v>0</v>
      </c>
      <c r="G32" s="129">
        <v>0</v>
      </c>
      <c r="H32" s="129">
        <v>0</v>
      </c>
      <c r="I32" s="128">
        <v>0</v>
      </c>
      <c r="J32" s="129">
        <v>0</v>
      </c>
      <c r="K32" s="129">
        <v>0</v>
      </c>
      <c r="L32" s="128">
        <v>0</v>
      </c>
      <c r="M32" s="129">
        <v>0</v>
      </c>
      <c r="N32" s="135">
        <v>0</v>
      </c>
      <c r="O32" s="30" t="e">
        <v>#DIV/0!</v>
      </c>
      <c r="P32" s="30" t="e">
        <v>#DIV/0!</v>
      </c>
      <c r="Q32" s="30" t="e">
        <v>#DIV/0!</v>
      </c>
      <c r="R32" s="30" t="e">
        <v>#DIV/0!</v>
      </c>
      <c r="S32" s="30" t="e">
        <v>#DIV/0!</v>
      </c>
      <c r="T32" s="30" t="e">
        <v>#DIV/0!</v>
      </c>
      <c r="U32" s="30" t="e">
        <v>#DIV/0!</v>
      </c>
      <c r="V32" s="30" t="e">
        <v>#DIV/0!</v>
      </c>
      <c r="W32" s="30" t="e">
        <v>#DIV/0!</v>
      </c>
      <c r="X32" s="30" t="e">
        <v>#DIV/0!</v>
      </c>
      <c r="Y32" s="30" t="e">
        <v>#DIV/0!</v>
      </c>
      <c r="Z32" s="30" t="e">
        <v>#DIV/0!</v>
      </c>
    </row>
    <row r="33" spans="1:26" x14ac:dyDescent="0.2">
      <c r="A33" s="5" t="s">
        <v>93</v>
      </c>
      <c r="B33" s="5" t="s">
        <v>94</v>
      </c>
      <c r="C33" s="128">
        <v>0</v>
      </c>
      <c r="D33" s="129">
        <v>0</v>
      </c>
      <c r="E33" s="129">
        <v>0</v>
      </c>
      <c r="F33" s="128">
        <v>0</v>
      </c>
      <c r="G33" s="129">
        <v>0</v>
      </c>
      <c r="H33" s="129">
        <v>0</v>
      </c>
      <c r="I33" s="128">
        <v>0</v>
      </c>
      <c r="J33" s="129">
        <v>0</v>
      </c>
      <c r="K33" s="129">
        <v>0</v>
      </c>
      <c r="L33" s="128">
        <v>0</v>
      </c>
      <c r="M33" s="129">
        <v>0</v>
      </c>
      <c r="N33" s="135">
        <v>0</v>
      </c>
      <c r="O33" s="30" t="e">
        <v>#DIV/0!</v>
      </c>
      <c r="P33" s="30" t="e">
        <v>#DIV/0!</v>
      </c>
      <c r="Q33" s="30" t="e">
        <v>#DIV/0!</v>
      </c>
      <c r="R33" s="30" t="e">
        <v>#DIV/0!</v>
      </c>
      <c r="S33" s="30" t="e">
        <v>#DIV/0!</v>
      </c>
      <c r="T33" s="30" t="e">
        <v>#DIV/0!</v>
      </c>
      <c r="U33" s="30" t="e">
        <v>#DIV/0!</v>
      </c>
      <c r="V33" s="30" t="e">
        <v>#DIV/0!</v>
      </c>
      <c r="W33" s="30" t="e">
        <v>#DIV/0!</v>
      </c>
      <c r="X33" s="30" t="e">
        <v>#DIV/0!</v>
      </c>
      <c r="Y33" s="30" t="e">
        <v>#DIV/0!</v>
      </c>
      <c r="Z33" s="30" t="e">
        <v>#DIV/0!</v>
      </c>
    </row>
    <row r="34" spans="1:26" x14ac:dyDescent="0.2">
      <c r="A34" s="5" t="s">
        <v>44</v>
      </c>
      <c r="B34" s="5" t="s">
        <v>11</v>
      </c>
      <c r="C34" s="128">
        <v>0</v>
      </c>
      <c r="D34" s="129">
        <v>0</v>
      </c>
      <c r="E34" s="129">
        <v>0</v>
      </c>
      <c r="F34" s="128">
        <v>0</v>
      </c>
      <c r="G34" s="129">
        <v>0</v>
      </c>
      <c r="H34" s="129">
        <v>0</v>
      </c>
      <c r="I34" s="128">
        <v>0</v>
      </c>
      <c r="J34" s="129">
        <v>0</v>
      </c>
      <c r="K34" s="129">
        <v>0</v>
      </c>
      <c r="L34" s="128">
        <v>0</v>
      </c>
      <c r="M34" s="129">
        <v>0</v>
      </c>
      <c r="N34" s="135">
        <v>0</v>
      </c>
      <c r="O34" s="30" t="e">
        <v>#DIV/0!</v>
      </c>
      <c r="P34" s="30" t="e">
        <v>#DIV/0!</v>
      </c>
      <c r="Q34" s="30" t="e">
        <v>#DIV/0!</v>
      </c>
      <c r="R34" s="30" t="e">
        <v>#DIV/0!</v>
      </c>
      <c r="S34" s="30" t="e">
        <v>#DIV/0!</v>
      </c>
      <c r="T34" s="30" t="e">
        <v>#DIV/0!</v>
      </c>
      <c r="U34" s="30" t="e">
        <v>#DIV/0!</v>
      </c>
      <c r="V34" s="30" t="e">
        <v>#DIV/0!</v>
      </c>
      <c r="W34" s="30" t="e">
        <v>#DIV/0!</v>
      </c>
      <c r="X34" s="30" t="e">
        <v>#DIV/0!</v>
      </c>
      <c r="Y34" s="30" t="e">
        <v>#DIV/0!</v>
      </c>
      <c r="Z34" s="30" t="e">
        <v>#DIV/0!</v>
      </c>
    </row>
    <row r="35" spans="1:26" x14ac:dyDescent="0.2">
      <c r="A35" s="5" t="s">
        <v>45</v>
      </c>
      <c r="B35" s="5" t="s">
        <v>11</v>
      </c>
      <c r="C35" s="128">
        <v>0</v>
      </c>
      <c r="D35" s="129">
        <v>0</v>
      </c>
      <c r="E35" s="129">
        <v>0</v>
      </c>
      <c r="F35" s="128">
        <v>0</v>
      </c>
      <c r="G35" s="129">
        <v>0</v>
      </c>
      <c r="H35" s="129">
        <v>0</v>
      </c>
      <c r="I35" s="128">
        <v>0</v>
      </c>
      <c r="J35" s="129">
        <v>0</v>
      </c>
      <c r="K35" s="129">
        <v>0</v>
      </c>
      <c r="L35" s="128">
        <v>0</v>
      </c>
      <c r="M35" s="129">
        <v>0</v>
      </c>
      <c r="N35" s="135">
        <v>0</v>
      </c>
      <c r="O35" s="30" t="e">
        <v>#DIV/0!</v>
      </c>
      <c r="P35" s="30" t="e">
        <v>#DIV/0!</v>
      </c>
      <c r="Q35" s="30" t="e">
        <v>#DIV/0!</v>
      </c>
      <c r="R35" s="30" t="e">
        <v>#DIV/0!</v>
      </c>
      <c r="S35" s="30" t="e">
        <v>#DIV/0!</v>
      </c>
      <c r="T35" s="30" t="e">
        <v>#DIV/0!</v>
      </c>
      <c r="U35" s="30" t="e">
        <v>#DIV/0!</v>
      </c>
      <c r="V35" s="30" t="e">
        <v>#DIV/0!</v>
      </c>
      <c r="W35" s="30" t="e">
        <v>#DIV/0!</v>
      </c>
      <c r="X35" s="30" t="e">
        <v>#DIV/0!</v>
      </c>
      <c r="Y35" s="30" t="e">
        <v>#DIV/0!</v>
      </c>
      <c r="Z35" s="30" t="e">
        <v>#DIV/0!</v>
      </c>
    </row>
    <row r="36" spans="1:26" x14ac:dyDescent="0.2">
      <c r="A36" s="5" t="s">
        <v>46</v>
      </c>
      <c r="B36" s="5" t="s">
        <v>11</v>
      </c>
      <c r="C36" s="128">
        <v>0</v>
      </c>
      <c r="D36" s="129">
        <v>0</v>
      </c>
      <c r="E36" s="129">
        <v>0</v>
      </c>
      <c r="F36" s="128">
        <v>0</v>
      </c>
      <c r="G36" s="129">
        <v>0</v>
      </c>
      <c r="H36" s="129">
        <v>0</v>
      </c>
      <c r="I36" s="128">
        <v>0</v>
      </c>
      <c r="J36" s="129">
        <v>0</v>
      </c>
      <c r="K36" s="129">
        <v>0</v>
      </c>
      <c r="L36" s="128">
        <v>0</v>
      </c>
      <c r="M36" s="129">
        <v>0</v>
      </c>
      <c r="N36" s="135">
        <v>0</v>
      </c>
      <c r="O36" s="30" t="e">
        <v>#DIV/0!</v>
      </c>
      <c r="P36" s="30" t="e">
        <v>#DIV/0!</v>
      </c>
      <c r="Q36" s="30" t="e">
        <v>#DIV/0!</v>
      </c>
      <c r="R36" s="30" t="e">
        <v>#DIV/0!</v>
      </c>
      <c r="S36" s="30" t="e">
        <v>#DIV/0!</v>
      </c>
      <c r="T36" s="30" t="e">
        <v>#DIV/0!</v>
      </c>
      <c r="U36" s="30" t="e">
        <v>#DIV/0!</v>
      </c>
      <c r="V36" s="30" t="e">
        <v>#DIV/0!</v>
      </c>
      <c r="W36" s="30" t="e">
        <v>#DIV/0!</v>
      </c>
      <c r="X36" s="30" t="e">
        <v>#DIV/0!</v>
      </c>
      <c r="Y36" s="30" t="e">
        <v>#DIV/0!</v>
      </c>
      <c r="Z36" s="30" t="e">
        <v>#DIV/0!</v>
      </c>
    </row>
    <row r="37" spans="1:26" x14ac:dyDescent="0.2">
      <c r="A37" s="5" t="s">
        <v>47</v>
      </c>
      <c r="B37" s="5" t="s">
        <v>11</v>
      </c>
      <c r="C37" s="128">
        <v>0</v>
      </c>
      <c r="D37" s="129">
        <v>0</v>
      </c>
      <c r="E37" s="129">
        <v>0</v>
      </c>
      <c r="F37" s="128">
        <v>0</v>
      </c>
      <c r="G37" s="129">
        <v>0</v>
      </c>
      <c r="H37" s="129">
        <v>0</v>
      </c>
      <c r="I37" s="128">
        <v>0</v>
      </c>
      <c r="J37" s="129">
        <v>0</v>
      </c>
      <c r="K37" s="129">
        <v>0</v>
      </c>
      <c r="L37" s="128">
        <v>0</v>
      </c>
      <c r="M37" s="129">
        <v>0</v>
      </c>
      <c r="N37" s="135">
        <v>0</v>
      </c>
      <c r="O37" s="30" t="e">
        <v>#DIV/0!</v>
      </c>
      <c r="P37" s="30" t="e">
        <v>#DIV/0!</v>
      </c>
      <c r="Q37" s="30" t="e">
        <v>#DIV/0!</v>
      </c>
      <c r="R37" s="30" t="e">
        <v>#DIV/0!</v>
      </c>
      <c r="S37" s="30" t="e">
        <v>#DIV/0!</v>
      </c>
      <c r="T37" s="30" t="e">
        <v>#DIV/0!</v>
      </c>
      <c r="U37" s="30" t="e">
        <v>#DIV/0!</v>
      </c>
      <c r="V37" s="30" t="e">
        <v>#DIV/0!</v>
      </c>
      <c r="W37" s="30" t="e">
        <v>#DIV/0!</v>
      </c>
      <c r="X37" s="30" t="e">
        <v>#DIV/0!</v>
      </c>
      <c r="Y37" s="30" t="e">
        <v>#DIV/0!</v>
      </c>
      <c r="Z37" s="30" t="e">
        <v>#DIV/0!</v>
      </c>
    </row>
    <row r="38" spans="1:26" x14ac:dyDescent="0.2">
      <c r="A38" s="5" t="s">
        <v>96</v>
      </c>
      <c r="B38" s="5" t="s">
        <v>52</v>
      </c>
      <c r="C38" s="128">
        <v>0</v>
      </c>
      <c r="D38" s="129">
        <v>0</v>
      </c>
      <c r="E38" s="129">
        <v>0</v>
      </c>
      <c r="F38" s="128">
        <v>0</v>
      </c>
      <c r="G38" s="129">
        <v>0</v>
      </c>
      <c r="H38" s="129">
        <v>0</v>
      </c>
      <c r="I38" s="128">
        <v>0</v>
      </c>
      <c r="J38" s="129">
        <v>0</v>
      </c>
      <c r="K38" s="129">
        <v>0</v>
      </c>
      <c r="L38" s="128">
        <v>0</v>
      </c>
      <c r="M38" s="129">
        <v>0</v>
      </c>
      <c r="N38" s="135">
        <v>0</v>
      </c>
      <c r="O38" s="30" t="e">
        <v>#DIV/0!</v>
      </c>
      <c r="P38" s="30" t="e">
        <v>#DIV/0!</v>
      </c>
      <c r="Q38" s="30" t="e">
        <v>#DIV/0!</v>
      </c>
      <c r="R38" s="30" t="e">
        <v>#DIV/0!</v>
      </c>
      <c r="S38" s="30" t="e">
        <v>#DIV/0!</v>
      </c>
      <c r="T38" s="30" t="e">
        <v>#DIV/0!</v>
      </c>
      <c r="U38" s="30" t="e">
        <v>#DIV/0!</v>
      </c>
      <c r="V38" s="30" t="e">
        <v>#DIV/0!</v>
      </c>
      <c r="W38" s="30" t="e">
        <v>#DIV/0!</v>
      </c>
      <c r="X38" s="30" t="e">
        <v>#DIV/0!</v>
      </c>
      <c r="Y38" s="30" t="e">
        <v>#DIV/0!</v>
      </c>
      <c r="Z38" s="30" t="e">
        <v>#DIV/0!</v>
      </c>
    </row>
    <row r="39" spans="1:26" x14ac:dyDescent="0.2">
      <c r="A39" s="5" t="s">
        <v>51</v>
      </c>
      <c r="B39" s="5" t="s">
        <v>52</v>
      </c>
      <c r="C39" s="130">
        <v>0</v>
      </c>
      <c r="D39" s="131">
        <v>0</v>
      </c>
      <c r="E39" s="131">
        <v>0</v>
      </c>
      <c r="F39" s="130">
        <v>0</v>
      </c>
      <c r="G39" s="131">
        <v>0</v>
      </c>
      <c r="H39" s="131">
        <v>0</v>
      </c>
      <c r="I39" s="130">
        <v>0</v>
      </c>
      <c r="J39" s="131">
        <v>0</v>
      </c>
      <c r="K39" s="131">
        <v>0</v>
      </c>
      <c r="L39" s="130">
        <v>0</v>
      </c>
      <c r="M39" s="131">
        <v>0</v>
      </c>
      <c r="N39" s="136">
        <v>0</v>
      </c>
      <c r="O39" s="30" t="e">
        <v>#DIV/0!</v>
      </c>
      <c r="P39" s="30" t="e">
        <v>#DIV/0!</v>
      </c>
      <c r="Q39" s="30" t="e">
        <v>#DIV/0!</v>
      </c>
      <c r="R39" s="30" t="e">
        <v>#DIV/0!</v>
      </c>
      <c r="S39" s="30" t="e">
        <v>#DIV/0!</v>
      </c>
      <c r="T39" s="30" t="e">
        <v>#DIV/0!</v>
      </c>
      <c r="U39" s="30" t="e">
        <v>#DIV/0!</v>
      </c>
      <c r="V39" s="30" t="e">
        <v>#DIV/0!</v>
      </c>
      <c r="W39" s="30" t="e">
        <v>#DIV/0!</v>
      </c>
      <c r="X39" s="30" t="e">
        <v>#DIV/0!</v>
      </c>
      <c r="Y39" s="30" t="e">
        <v>#DIV/0!</v>
      </c>
      <c r="Z39" s="30" t="e">
        <v>#DIV/0!</v>
      </c>
    </row>
    <row r="40" spans="1:26" x14ac:dyDescent="0.2">
      <c r="A40" s="1" t="s">
        <v>127</v>
      </c>
      <c r="C40" s="129">
        <f t="shared" ref="C40:N40" si="0">SUM(C6:C39)</f>
        <v>0</v>
      </c>
      <c r="D40" s="129">
        <f t="shared" si="0"/>
        <v>0</v>
      </c>
      <c r="E40" s="129">
        <f t="shared" si="0"/>
        <v>0</v>
      </c>
      <c r="F40" s="129">
        <f t="shared" si="0"/>
        <v>0</v>
      </c>
      <c r="G40" s="129">
        <f t="shared" si="0"/>
        <v>0</v>
      </c>
      <c r="H40" s="129">
        <f t="shared" si="0"/>
        <v>0</v>
      </c>
      <c r="I40" s="129">
        <f t="shared" si="0"/>
        <v>0</v>
      </c>
      <c r="J40" s="129">
        <f t="shared" si="0"/>
        <v>0</v>
      </c>
      <c r="K40" s="129">
        <f t="shared" si="0"/>
        <v>0</v>
      </c>
      <c r="L40" s="129">
        <f t="shared" si="0"/>
        <v>0</v>
      </c>
      <c r="M40" s="129">
        <f t="shared" si="0"/>
        <v>0</v>
      </c>
      <c r="N40" s="129">
        <f t="shared" si="0"/>
        <v>0</v>
      </c>
      <c r="O40" s="30" t="e">
        <f t="shared" ref="O40" si="1">SUM(O6:O39)</f>
        <v>#DIV/0!</v>
      </c>
      <c r="P40" s="30" t="e">
        <f t="shared" ref="P40" si="2">SUM(P6:P39)</f>
        <v>#DIV/0!</v>
      </c>
      <c r="Q40" s="30" t="e">
        <f t="shared" ref="Q40" si="3">SUM(Q6:Q39)</f>
        <v>#DIV/0!</v>
      </c>
      <c r="R40" s="30" t="e">
        <f t="shared" ref="R40" si="4">SUM(R6:R39)</f>
        <v>#DIV/0!</v>
      </c>
      <c r="S40" s="30" t="e">
        <f t="shared" ref="S40" si="5">SUM(S6:S39)</f>
        <v>#DIV/0!</v>
      </c>
      <c r="T40" s="30" t="e">
        <f t="shared" ref="T40" si="6">SUM(T6:T39)</f>
        <v>#DIV/0!</v>
      </c>
      <c r="U40" s="30" t="e">
        <f t="shared" ref="U40" si="7">SUM(U6:U39)</f>
        <v>#DIV/0!</v>
      </c>
      <c r="V40" s="30" t="e">
        <f t="shared" ref="V40" si="8">SUM(V6:V39)</f>
        <v>#DIV/0!</v>
      </c>
      <c r="W40" s="30" t="e">
        <f t="shared" ref="W40" si="9">SUM(W6:W39)</f>
        <v>#DIV/0!</v>
      </c>
      <c r="X40" s="30" t="e">
        <f t="shared" ref="X40" si="10">SUM(X6:X39)</f>
        <v>#DIV/0!</v>
      </c>
      <c r="Y40" s="30" t="e">
        <f t="shared" ref="Y40" si="11">SUM(Y6:Y39)</f>
        <v>#DIV/0!</v>
      </c>
      <c r="Z40" s="30" t="e">
        <f t="shared" ref="Z40" si="12">SUM(Z6:Z39)</f>
        <v>#DIV/0!</v>
      </c>
    </row>
  </sheetData>
  <mergeCells count="10">
    <mergeCell ref="C1:N1"/>
    <mergeCell ref="O1:Z1"/>
    <mergeCell ref="O2:Q2"/>
    <mergeCell ref="R2:T2"/>
    <mergeCell ref="U2:W2"/>
    <mergeCell ref="X2:Z2"/>
    <mergeCell ref="C2:E2"/>
    <mergeCell ref="F2:H2"/>
    <mergeCell ref="I2:K2"/>
    <mergeCell ref="L2:N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13600-54AE-4669-8177-B9BECF04BD95}">
  <dimension ref="A1:S10"/>
  <sheetViews>
    <sheetView zoomScale="71" workbookViewId="0">
      <selection activeCell="R9" sqref="R9"/>
    </sheetView>
  </sheetViews>
  <sheetFormatPr defaultRowHeight="15" x14ac:dyDescent="0.25"/>
  <cols>
    <col min="1" max="1" width="19" bestFit="1" customWidth="1"/>
    <col min="2" max="3" width="10.140625" bestFit="1" customWidth="1"/>
    <col min="4" max="5" width="10.140625" customWidth="1"/>
    <col min="6" max="7" width="12.42578125" bestFit="1" customWidth="1"/>
  </cols>
  <sheetData>
    <row r="1" spans="1:19" ht="45.75" x14ac:dyDescent="0.25">
      <c r="B1" s="29" t="s">
        <v>66</v>
      </c>
      <c r="C1" s="29" t="s">
        <v>67</v>
      </c>
      <c r="D1" s="29" t="s">
        <v>68</v>
      </c>
      <c r="E1" s="29" t="s">
        <v>69</v>
      </c>
      <c r="F1" s="29" t="s">
        <v>70</v>
      </c>
      <c r="G1" s="29" t="s">
        <v>71</v>
      </c>
      <c r="H1" s="29" t="s">
        <v>72</v>
      </c>
      <c r="I1" s="29" t="s">
        <v>73</v>
      </c>
      <c r="J1" s="29" t="s">
        <v>74</v>
      </c>
      <c r="K1" s="29" t="s">
        <v>75</v>
      </c>
      <c r="L1" s="29" t="s">
        <v>76</v>
      </c>
      <c r="M1" s="29" t="s">
        <v>77</v>
      </c>
      <c r="N1" s="29" t="s">
        <v>78</v>
      </c>
      <c r="O1" s="29" t="s">
        <v>79</v>
      </c>
      <c r="P1" s="29" t="s">
        <v>80</v>
      </c>
      <c r="Q1" s="29" t="s">
        <v>81</v>
      </c>
      <c r="R1" s="29" t="s">
        <v>84</v>
      </c>
      <c r="S1" s="29" t="s">
        <v>108</v>
      </c>
    </row>
    <row r="2" spans="1:19" x14ac:dyDescent="0.25">
      <c r="A2" s="1" t="s">
        <v>14</v>
      </c>
      <c r="B2" s="30">
        <v>4.6130915917491029E-2</v>
      </c>
      <c r="C2" s="30">
        <v>0.10163659828469647</v>
      </c>
      <c r="D2" s="30">
        <v>0.10835594193738626</v>
      </c>
      <c r="E2" s="30">
        <v>0.14014257452046885</v>
      </c>
      <c r="F2" s="30">
        <v>8.1287260574084211E-2</v>
      </c>
      <c r="G2" s="30">
        <v>0.13900069557269246</v>
      </c>
      <c r="H2" s="30">
        <v>0.14508286692038599</v>
      </c>
      <c r="I2" s="30">
        <v>0.18217662762903583</v>
      </c>
      <c r="J2" s="30">
        <v>4.6073361670510703E-2</v>
      </c>
      <c r="K2" s="30">
        <v>0.10270248216900964</v>
      </c>
      <c r="L2" s="30">
        <v>0.11405615684778848</v>
      </c>
      <c r="M2" s="30">
        <v>0.1511111504641193</v>
      </c>
      <c r="N2" s="30">
        <v>8.1314058120272939E-2</v>
      </c>
      <c r="O2" s="30">
        <v>0.1384832110284977</v>
      </c>
      <c r="P2" s="30">
        <v>0.17379572895423354</v>
      </c>
      <c r="Q2" s="30">
        <v>0.20232728359502283</v>
      </c>
      <c r="R2" s="30">
        <v>8.3000000000000004E-2</v>
      </c>
      <c r="S2" s="110">
        <v>0.3</v>
      </c>
    </row>
    <row r="3" spans="1:19" x14ac:dyDescent="0.25">
      <c r="A3" s="1" t="s">
        <v>12</v>
      </c>
      <c r="B3" s="30">
        <v>9.5258761036033285E-2</v>
      </c>
      <c r="C3" s="30">
        <v>0.18715831972703739</v>
      </c>
      <c r="D3" s="30">
        <v>0.3740115429984881</v>
      </c>
      <c r="E3" s="30">
        <v>0.41201528069296844</v>
      </c>
      <c r="F3" s="30">
        <v>0.18816347650908463</v>
      </c>
      <c r="G3" s="30">
        <v>0.34638042107647249</v>
      </c>
      <c r="H3" s="30">
        <v>0.43123084019252877</v>
      </c>
      <c r="I3" s="30">
        <v>0.50888586538026992</v>
      </c>
      <c r="J3" s="30">
        <v>9.514019711597041E-2</v>
      </c>
      <c r="K3" s="30">
        <v>0.18994188619063615</v>
      </c>
      <c r="L3" s="30">
        <v>0.3995407749892258</v>
      </c>
      <c r="M3" s="30">
        <v>0.45334735467226206</v>
      </c>
      <c r="N3" s="30">
        <v>0.18823764603222617</v>
      </c>
      <c r="O3" s="30">
        <v>0.34483682630389312</v>
      </c>
      <c r="P3" s="30">
        <v>0.67249258861885519</v>
      </c>
      <c r="Q3" s="30">
        <v>0.63654195877826181</v>
      </c>
      <c r="R3" s="30">
        <v>9.8000000000000004E-2</v>
      </c>
      <c r="S3" s="110">
        <v>0.34</v>
      </c>
    </row>
    <row r="4" spans="1:19" x14ac:dyDescent="0.25">
      <c r="A4" s="1" t="s">
        <v>13</v>
      </c>
      <c r="B4" s="30">
        <v>0.65649653408149</v>
      </c>
      <c r="C4" s="30">
        <v>0.54302148037539899</v>
      </c>
      <c r="D4" s="30">
        <v>0.37480403798965162</v>
      </c>
      <c r="E4" s="30">
        <v>0.30955166237494308</v>
      </c>
      <c r="F4" s="30">
        <v>5.8795405205431479E-2</v>
      </c>
      <c r="G4" s="30">
        <v>0</v>
      </c>
      <c r="H4" s="30">
        <v>0</v>
      </c>
      <c r="I4" s="30">
        <v>0</v>
      </c>
      <c r="J4" s="30">
        <v>0.65567467386186218</v>
      </c>
      <c r="K4" s="30">
        <v>0.54382913602830851</v>
      </c>
      <c r="L4" s="30">
        <v>0.35114706086683756</v>
      </c>
      <c r="M4" s="30">
        <v>0.24625418847359296</v>
      </c>
      <c r="N4" s="30">
        <v>5.8814050416097177E-2</v>
      </c>
      <c r="O4" s="30">
        <v>0</v>
      </c>
      <c r="P4" s="30">
        <v>0</v>
      </c>
      <c r="Q4" s="30">
        <v>0</v>
      </c>
      <c r="R4" s="30">
        <v>4.3999999999999997E-2</v>
      </c>
      <c r="S4" s="110">
        <v>0.05</v>
      </c>
    </row>
    <row r="5" spans="1:19" x14ac:dyDescent="0.25">
      <c r="A5" s="1" t="s">
        <v>44</v>
      </c>
      <c r="B5" s="30">
        <v>0.1162347066084633</v>
      </c>
      <c r="C5" s="30">
        <v>0.10562884723481117</v>
      </c>
      <c r="D5" s="30">
        <v>0.10112368782543202</v>
      </c>
      <c r="E5" s="30">
        <v>9.207636932456488E-2</v>
      </c>
      <c r="F5" s="30">
        <v>4.0684209333330681E-2</v>
      </c>
      <c r="G5" s="30">
        <v>3.9818608940359712E-2</v>
      </c>
      <c r="H5" s="30">
        <v>4.0588437609132243E-2</v>
      </c>
      <c r="I5" s="30">
        <v>3.9058780553433606E-2</v>
      </c>
      <c r="J5" s="30">
        <v>0.11608919375874924</v>
      </c>
      <c r="K5" s="30">
        <v>0.10693857248194984</v>
      </c>
      <c r="L5" s="30">
        <v>8.5191751915024441E-2</v>
      </c>
      <c r="M5" s="30">
        <v>6.3720604393446165E-2</v>
      </c>
      <c r="N5" s="30">
        <v>4.0496353382093994E-2</v>
      </c>
      <c r="O5" s="30">
        <v>4.0020303400163292E-2</v>
      </c>
      <c r="P5" s="30">
        <v>3.0612358106183877E-2</v>
      </c>
      <c r="Q5" s="30">
        <v>2.3958972707383206E-2</v>
      </c>
      <c r="R5" s="30">
        <v>0.13500000000000001</v>
      </c>
      <c r="S5" s="110">
        <v>0.11</v>
      </c>
    </row>
    <row r="6" spans="1:19" x14ac:dyDescent="0.25">
      <c r="A6" s="1" t="s">
        <v>45</v>
      </c>
      <c r="B6" s="30">
        <v>1.4602927963626507E-2</v>
      </c>
      <c r="C6" s="30">
        <v>0</v>
      </c>
      <c r="D6" s="30">
        <v>0</v>
      </c>
      <c r="E6" s="30">
        <v>0</v>
      </c>
      <c r="F6" s="30">
        <v>0.44998134728924588</v>
      </c>
      <c r="G6" s="30">
        <v>0.26747299272166475</v>
      </c>
      <c r="H6" s="30">
        <v>0.1069755003409974</v>
      </c>
      <c r="I6" s="30">
        <v>1.0621271670299843E-2</v>
      </c>
      <c r="J6" s="30">
        <v>1.4584646731418342E-2</v>
      </c>
      <c r="K6" s="30">
        <v>0</v>
      </c>
      <c r="L6" s="30">
        <v>0</v>
      </c>
      <c r="M6" s="30">
        <v>0</v>
      </c>
      <c r="N6" s="30">
        <v>0.4483674975186509</v>
      </c>
      <c r="O6" s="30">
        <v>0.26878753186667348</v>
      </c>
      <c r="P6" s="30">
        <v>4.4776468568166047E-3</v>
      </c>
      <c r="Q6" s="30">
        <v>0</v>
      </c>
      <c r="R6" s="30">
        <v>0.58199999999999996</v>
      </c>
      <c r="S6" s="110">
        <v>7.0000000000000007E-2</v>
      </c>
    </row>
    <row r="7" spans="1:19" x14ac:dyDescent="0.25">
      <c r="A7" s="1" t="s">
        <v>46</v>
      </c>
      <c r="B7" s="30">
        <v>4.7601450166580558E-2</v>
      </c>
      <c r="C7" s="30">
        <v>1.8049436136901575E-2</v>
      </c>
      <c r="D7" s="30">
        <v>9.6778051777521735E-3</v>
      </c>
      <c r="E7" s="30">
        <v>7.5678832201367821E-3</v>
      </c>
      <c r="F7" s="30">
        <v>0.12928178357042622</v>
      </c>
      <c r="G7" s="30">
        <v>0.12070009992954113</v>
      </c>
      <c r="H7" s="30">
        <v>0.1749579415550844</v>
      </c>
      <c r="I7" s="30">
        <v>0.15693159838777149</v>
      </c>
      <c r="J7" s="30">
        <v>4.8792904831158536E-2</v>
      </c>
      <c r="K7" s="30">
        <v>1.1975048200883933E-2</v>
      </c>
      <c r="L7" s="30">
        <v>5.3683478126073051E-3</v>
      </c>
      <c r="M7" s="30">
        <v>6.0376679843467109E-3</v>
      </c>
      <c r="N7" s="30">
        <v>0.1271906877188623</v>
      </c>
      <c r="O7" s="30">
        <v>0.11656796994528298</v>
      </c>
      <c r="P7" s="30">
        <v>2.5852938965992528E-2</v>
      </c>
      <c r="Q7" s="30">
        <v>5.7065687145465779E-4</v>
      </c>
      <c r="R7" s="30">
        <v>0.03</v>
      </c>
      <c r="S7" s="110">
        <v>0.03</v>
      </c>
    </row>
    <row r="8" spans="1:19" x14ac:dyDescent="0.25">
      <c r="A8" s="1" t="s">
        <v>47</v>
      </c>
      <c r="B8" s="30">
        <v>2.3674704226315211E-2</v>
      </c>
      <c r="C8" s="30">
        <v>4.4505318241154473E-2</v>
      </c>
      <c r="D8" s="30">
        <v>3.2026984071289871E-2</v>
      </c>
      <c r="E8" s="30">
        <v>3.8646229866917944E-2</v>
      </c>
      <c r="F8" s="30">
        <v>5.1806517518396829E-2</v>
      </c>
      <c r="G8" s="30">
        <v>8.6627181759269437E-2</v>
      </c>
      <c r="H8" s="30">
        <v>0.10116441338187122</v>
      </c>
      <c r="I8" s="30">
        <v>0.10232585637918933</v>
      </c>
      <c r="J8" s="30">
        <v>2.3645022030330646E-2</v>
      </c>
      <c r="K8" s="30">
        <v>4.4612874929211926E-2</v>
      </c>
      <c r="L8" s="30">
        <v>4.4695907568516366E-2</v>
      </c>
      <c r="M8" s="30">
        <v>7.9529034012233019E-2</v>
      </c>
      <c r="N8" s="30">
        <v>5.5579706811796456E-2</v>
      </c>
      <c r="O8" s="30">
        <v>9.1304157455489407E-2</v>
      </c>
      <c r="P8" s="30">
        <v>9.2768738497918307E-2</v>
      </c>
      <c r="Q8" s="30">
        <v>0.13660112804787747</v>
      </c>
      <c r="R8" s="30">
        <f>1-SUM(R2:R7)</f>
        <v>2.8000000000000025E-2</v>
      </c>
      <c r="S8" s="110">
        <f>1-SUM(S2:S7)</f>
        <v>9.9999999999999867E-2</v>
      </c>
    </row>
    <row r="10" spans="1:19" x14ac:dyDescent="0.25">
      <c r="A10" s="1" t="s">
        <v>82</v>
      </c>
      <c r="B10" s="31" t="s">
        <v>83</v>
      </c>
      <c r="R10" t="s">
        <v>85</v>
      </c>
      <c r="S10" t="s">
        <v>109</v>
      </c>
    </row>
  </sheetData>
  <hyperlinks>
    <hyperlink ref="B10" r:id="rId1" xr:uid="{A951DC27-363E-45E5-B106-B3D7517D6995}"/>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Inventaire</vt:lpstr>
      <vt:lpstr>Analyse d'impacts</vt:lpstr>
      <vt:lpstr>Mix électriques</vt:lpstr>
      <vt:lpstr>n_SelectedImpact_Elec</vt:lpstr>
      <vt:lpstr>n_SelectedRegion_Elec</vt:lpstr>
      <vt:lpstr>n_SelectedScenario_Elec</vt:lpstr>
      <vt:lpstr>n_SelectedSensitivity_Elec</vt:lpstr>
    </vt:vector>
  </TitlesOfParts>
  <Company>LIST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Gibon</dc:creator>
  <cp:lastModifiedBy>Thomas Gibon</cp:lastModifiedBy>
  <dcterms:created xsi:type="dcterms:W3CDTF">2026-01-14T12:46:11Z</dcterms:created>
  <dcterms:modified xsi:type="dcterms:W3CDTF">2026-01-17T13:48:07Z</dcterms:modified>
</cp:coreProperties>
</file>