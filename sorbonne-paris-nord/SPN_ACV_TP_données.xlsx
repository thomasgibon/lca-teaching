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ca-teaching\sorbonne-paris-nord\"/>
    </mc:Choice>
  </mc:AlternateContent>
  <xr:revisionPtr revIDLastSave="0" documentId="13_ncr:1_{5066FA57-FBC4-4B59-9BCA-72D846A6EC31}" xr6:coauthVersionLast="47" xr6:coauthVersionMax="47" xr10:uidLastSave="{00000000-0000-0000-0000-000000000000}"/>
  <bookViews>
    <workbookView xWindow="-120" yWindow="-120" windowWidth="29040" windowHeight="17520" activeTab="1" xr2:uid="{C508237C-FCEB-47CF-80E6-621039195DB4}"/>
  </bookViews>
  <sheets>
    <sheet name="Information" sheetId="9" r:id="rId1"/>
    <sheet name="Inventaire" sheetId="1" r:id="rId2"/>
    <sheet name="Analyse d'impacts" sheetId="7" r:id="rId3"/>
    <sheet name="Composition voiture" sheetId="2" r:id="rId4"/>
    <sheet name="Production batterie" sheetId="6" r:id="rId5"/>
    <sheet name="Mix électriques" sheetId="5" r:id="rId6"/>
    <sheet name="Carburant" sheetId="8" r:id="rId7"/>
  </sheets>
  <definedNames>
    <definedName name="Import1_FuelChain_COL">#REF!</definedName>
    <definedName name="Import1_Impact_COL">#REF!</definedName>
    <definedName name="Import1_Region_COL">#REF!</definedName>
    <definedName name="Import1_Scenario_COL">#REF!</definedName>
    <definedName name="Import1_Sensitivity_COL">#REF!</definedName>
    <definedName name="Import1_Substage_COL">#REF!</definedName>
    <definedName name="l_ElecFuelChain">#REF!</definedName>
    <definedName name="n_SelectedImpact_Elec">'Mix électriques'!$C$13</definedName>
    <definedName name="n_SelectedRegion_Elec">'Mix électriques'!$C$17</definedName>
    <definedName name="n_SelectedScenario_Elec">'Mix électriques'!$C$14</definedName>
    <definedName name="n_SelectedSensitivity_Elec">'Mix électriques'!$C$15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 a="1"/>
  <c r="F92" i="1" s="1"/>
  <c r="S92" i="1"/>
  <c r="W92" i="1"/>
  <c r="X92" i="1"/>
  <c r="Y92" i="1"/>
  <c r="Z92" i="1"/>
  <c r="AA92" i="1"/>
  <c r="AB92" i="1"/>
  <c r="AC92" i="1"/>
  <c r="AD92" i="1"/>
  <c r="AE92" i="1"/>
  <c r="AF92" i="1"/>
  <c r="AG92" i="1"/>
  <c r="AK92" i="1"/>
  <c r="F93" i="1"/>
  <c r="G93" i="1"/>
  <c r="H93" i="1"/>
  <c r="I93" i="1"/>
  <c r="J93" i="1"/>
  <c r="K93" i="1"/>
  <c r="L93" i="1"/>
  <c r="M93" i="1"/>
  <c r="N93" i="1"/>
  <c r="O93" i="1"/>
  <c r="S93" i="1"/>
  <c r="T93" i="1"/>
  <c r="U93" i="1"/>
  <c r="V93" i="1"/>
  <c r="W93" i="1"/>
  <c r="X93" i="1"/>
  <c r="Y93" i="1"/>
  <c r="Z93" i="1"/>
  <c r="AA93" i="1"/>
  <c r="AB93" i="1"/>
  <c r="AC93" i="1"/>
  <c r="AG93" i="1"/>
  <c r="AH93" i="1"/>
  <c r="AI93" i="1"/>
  <c r="AJ93" i="1"/>
  <c r="AK93" i="1"/>
  <c r="F94" i="1"/>
  <c r="G94" i="1"/>
  <c r="H94" i="1"/>
  <c r="I94" i="1"/>
  <c r="J94" i="1"/>
  <c r="K94" i="1"/>
  <c r="O94" i="1"/>
  <c r="P94" i="1"/>
  <c r="Q94" i="1"/>
  <c r="R94" i="1"/>
  <c r="S94" i="1"/>
  <c r="T94" i="1"/>
  <c r="U94" i="1"/>
  <c r="V94" i="1"/>
  <c r="W94" i="1"/>
  <c r="X94" i="1"/>
  <c r="Y94" i="1"/>
  <c r="AC94" i="1"/>
  <c r="AD94" i="1"/>
  <c r="AE94" i="1"/>
  <c r="AF94" i="1"/>
  <c r="AG94" i="1"/>
  <c r="AH94" i="1"/>
  <c r="AI94" i="1"/>
  <c r="AJ94" i="1"/>
  <c r="AK94" i="1"/>
  <c r="F95" i="1"/>
  <c r="G95" i="1"/>
  <c r="K95" i="1"/>
  <c r="L95" i="1"/>
  <c r="M95" i="1"/>
  <c r="N95" i="1"/>
  <c r="O95" i="1"/>
  <c r="P95" i="1"/>
  <c r="Q95" i="1"/>
  <c r="R95" i="1"/>
  <c r="S95" i="1"/>
  <c r="T95" i="1"/>
  <c r="U95" i="1"/>
  <c r="Y95" i="1"/>
  <c r="Z95" i="1"/>
  <c r="AA95" i="1"/>
  <c r="AB95" i="1"/>
  <c r="AC95" i="1"/>
  <c r="AD95" i="1"/>
  <c r="AE95" i="1"/>
  <c r="AF95" i="1"/>
  <c r="AG95" i="1"/>
  <c r="AH95" i="1"/>
  <c r="AI95" i="1"/>
  <c r="G96" i="1"/>
  <c r="H96" i="1"/>
  <c r="I96" i="1"/>
  <c r="J96" i="1"/>
  <c r="K96" i="1"/>
  <c r="L96" i="1"/>
  <c r="M96" i="1"/>
  <c r="N96" i="1"/>
  <c r="O96" i="1"/>
  <c r="P96" i="1"/>
  <c r="Q96" i="1"/>
  <c r="U96" i="1"/>
  <c r="V96" i="1"/>
  <c r="W96" i="1"/>
  <c r="X96" i="1"/>
  <c r="Y96" i="1"/>
  <c r="Z96" i="1"/>
  <c r="AA96" i="1"/>
  <c r="AB96" i="1"/>
  <c r="AC96" i="1"/>
  <c r="AD96" i="1"/>
  <c r="AE96" i="1"/>
  <c r="AI96" i="1"/>
  <c r="AJ96" i="1"/>
  <c r="AK96" i="1"/>
  <c r="F97" i="1"/>
  <c r="G97" i="1"/>
  <c r="H97" i="1"/>
  <c r="I97" i="1"/>
  <c r="J97" i="1"/>
  <c r="K97" i="1"/>
  <c r="L97" i="1"/>
  <c r="M97" i="1"/>
  <c r="Q97" i="1"/>
  <c r="R97" i="1"/>
  <c r="S97" i="1"/>
  <c r="T97" i="1"/>
  <c r="U97" i="1"/>
  <c r="V97" i="1"/>
  <c r="W97" i="1"/>
  <c r="X97" i="1"/>
  <c r="Y97" i="1"/>
  <c r="Z97" i="1"/>
  <c r="AA97" i="1"/>
  <c r="AE97" i="1"/>
  <c r="AF97" i="1"/>
  <c r="AG97" i="1"/>
  <c r="AH97" i="1"/>
  <c r="AI97" i="1"/>
  <c r="AJ97" i="1"/>
  <c r="AK97" i="1"/>
  <c r="F98" i="1"/>
  <c r="G98" i="1"/>
  <c r="H98" i="1"/>
  <c r="I98" i="1"/>
  <c r="M98" i="1"/>
  <c r="N98" i="1"/>
  <c r="O98" i="1"/>
  <c r="P98" i="1"/>
  <c r="Q98" i="1"/>
  <c r="R98" i="1"/>
  <c r="S98" i="1"/>
  <c r="T98" i="1"/>
  <c r="U98" i="1"/>
  <c r="V98" i="1"/>
  <c r="W98" i="1"/>
  <c r="AA98" i="1"/>
  <c r="AB98" i="1"/>
  <c r="AC98" i="1"/>
  <c r="AD98" i="1"/>
  <c r="AE98" i="1"/>
  <c r="AF98" i="1"/>
  <c r="AG98" i="1"/>
  <c r="AH98" i="1"/>
  <c r="AI98" i="1"/>
  <c r="AJ98" i="1"/>
  <c r="AK98" i="1"/>
  <c r="I99" i="1"/>
  <c r="J99" i="1"/>
  <c r="K99" i="1"/>
  <c r="L99" i="1"/>
  <c r="M99" i="1"/>
  <c r="N99" i="1"/>
  <c r="O99" i="1"/>
  <c r="P99" i="1"/>
  <c r="Q99" i="1"/>
  <c r="R99" i="1"/>
  <c r="S99" i="1"/>
  <c r="W99" i="1"/>
  <c r="X99" i="1"/>
  <c r="Y99" i="1"/>
  <c r="Z99" i="1"/>
  <c r="AA99" i="1"/>
  <c r="AB99" i="1"/>
  <c r="AC99" i="1"/>
  <c r="AD99" i="1"/>
  <c r="AE99" i="1"/>
  <c r="AF99" i="1"/>
  <c r="AG99" i="1"/>
  <c r="AK99" i="1"/>
  <c r="F100" i="1"/>
  <c r="G100" i="1"/>
  <c r="H100" i="1"/>
  <c r="I100" i="1"/>
  <c r="J100" i="1"/>
  <c r="K100" i="1"/>
  <c r="L100" i="1"/>
  <c r="M100" i="1"/>
  <c r="N100" i="1"/>
  <c r="O100" i="1"/>
  <c r="S100" i="1"/>
  <c r="T100" i="1"/>
  <c r="U100" i="1"/>
  <c r="V100" i="1"/>
  <c r="W100" i="1"/>
  <c r="X100" i="1"/>
  <c r="Y100" i="1"/>
  <c r="Z100" i="1"/>
  <c r="AA100" i="1"/>
  <c r="AB100" i="1"/>
  <c r="AC100" i="1"/>
  <c r="AG100" i="1"/>
  <c r="AH100" i="1"/>
  <c r="AI100" i="1"/>
  <c r="AJ100" i="1"/>
  <c r="AK100" i="1"/>
  <c r="F101" i="1"/>
  <c r="G101" i="1"/>
  <c r="H101" i="1"/>
  <c r="I101" i="1"/>
  <c r="J101" i="1"/>
  <c r="K101" i="1"/>
  <c r="O101" i="1"/>
  <c r="P101" i="1"/>
  <c r="Q101" i="1"/>
  <c r="R101" i="1"/>
  <c r="S101" i="1"/>
  <c r="T101" i="1"/>
  <c r="U101" i="1"/>
  <c r="V101" i="1"/>
  <c r="W101" i="1"/>
  <c r="X101" i="1"/>
  <c r="Y101" i="1"/>
  <c r="AB101" i="1"/>
  <c r="AC101" i="1"/>
  <c r="AD101" i="1"/>
  <c r="AE101" i="1"/>
  <c r="AF101" i="1"/>
  <c r="AG101" i="1"/>
  <c r="AH101" i="1"/>
  <c r="AI101" i="1"/>
  <c r="AJ101" i="1"/>
  <c r="AK101" i="1"/>
  <c r="F102" i="1"/>
  <c r="G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Y102" i="1"/>
  <c r="Z102" i="1"/>
  <c r="AA102" i="1"/>
  <c r="AB102" i="1"/>
  <c r="AC102" i="1"/>
  <c r="AD102" i="1"/>
  <c r="AE102" i="1"/>
  <c r="AF102" i="1"/>
  <c r="AG102" i="1"/>
  <c r="AH102" i="1"/>
  <c r="AI102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H103" i="1"/>
  <c r="AI103" i="1"/>
  <c r="AJ103" i="1"/>
  <c r="AK103" i="1"/>
  <c r="F104" i="1"/>
  <c r="G104" i="1"/>
  <c r="H104" i="1"/>
  <c r="I104" i="1"/>
  <c r="J104" i="1"/>
  <c r="K104" i="1"/>
  <c r="L104" i="1"/>
  <c r="M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D104" i="1"/>
  <c r="AE104" i="1"/>
  <c r="AF104" i="1"/>
  <c r="AG104" i="1"/>
  <c r="AH104" i="1"/>
  <c r="AI104" i="1"/>
  <c r="AJ104" i="1"/>
  <c r="AK104" i="1"/>
  <c r="F105" i="1"/>
  <c r="G105" i="1"/>
  <c r="H105" i="1"/>
  <c r="I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J106" i="1"/>
  <c r="AK106" i="1"/>
  <c r="F107" i="1"/>
  <c r="G107" i="1"/>
  <c r="H107" i="1"/>
  <c r="I107" i="1"/>
  <c r="J107" i="1"/>
  <c r="K107" i="1"/>
  <c r="L107" i="1"/>
  <c r="M107" i="1"/>
  <c r="N107" i="1"/>
  <c r="O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F107" i="1"/>
  <c r="AG107" i="1"/>
  <c r="AH107" i="1"/>
  <c r="AI107" i="1"/>
  <c r="AJ107" i="1"/>
  <c r="AK107" i="1"/>
  <c r="F108" i="1"/>
  <c r="G108" i="1"/>
  <c r="H108" i="1"/>
  <c r="I108" i="1"/>
  <c r="J108" i="1"/>
  <c r="K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AB108" i="1"/>
  <c r="AC108" i="1"/>
  <c r="AD108" i="1"/>
  <c r="AE108" i="1"/>
  <c r="AF108" i="1"/>
  <c r="AG108" i="1"/>
  <c r="AH108" i="1"/>
  <c r="AI108" i="1"/>
  <c r="AJ108" i="1"/>
  <c r="AK108" i="1"/>
  <c r="F109" i="1"/>
  <c r="G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H110" i="1"/>
  <c r="AI110" i="1"/>
  <c r="AJ110" i="1"/>
  <c r="AK110" i="1"/>
  <c r="F111" i="1"/>
  <c r="G111" i="1"/>
  <c r="H111" i="1"/>
  <c r="I111" i="1"/>
  <c r="J111" i="1"/>
  <c r="K111" i="1"/>
  <c r="L111" i="1"/>
  <c r="M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D111" i="1"/>
  <c r="AE111" i="1"/>
  <c r="AF111" i="1"/>
  <c r="AG111" i="1"/>
  <c r="AH111" i="1"/>
  <c r="AI111" i="1"/>
  <c r="AJ111" i="1"/>
  <c r="AK111" i="1"/>
  <c r="F112" i="1"/>
  <c r="G112" i="1"/>
  <c r="H112" i="1"/>
  <c r="I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J113" i="1"/>
  <c r="AK113" i="1"/>
  <c r="F114" i="1"/>
  <c r="G114" i="1"/>
  <c r="H114" i="1"/>
  <c r="I114" i="1"/>
  <c r="J114" i="1"/>
  <c r="K114" i="1"/>
  <c r="L114" i="1"/>
  <c r="M114" i="1"/>
  <c r="N114" i="1"/>
  <c r="O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F114" i="1"/>
  <c r="AG114" i="1"/>
  <c r="AH114" i="1"/>
  <c r="AI114" i="1"/>
  <c r="AJ114" i="1"/>
  <c r="AK114" i="1"/>
  <c r="F115" i="1"/>
  <c r="G115" i="1"/>
  <c r="H115" i="1"/>
  <c r="I115" i="1"/>
  <c r="J115" i="1"/>
  <c r="K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AB115" i="1"/>
  <c r="AC115" i="1"/>
  <c r="AD115" i="1"/>
  <c r="AE115" i="1"/>
  <c r="AF115" i="1"/>
  <c r="AG115" i="1"/>
  <c r="AH115" i="1"/>
  <c r="AI115" i="1"/>
  <c r="AJ115" i="1"/>
  <c r="AK115" i="1"/>
  <c r="F116" i="1"/>
  <c r="G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H117" i="1"/>
  <c r="AI117" i="1"/>
  <c r="AJ117" i="1"/>
  <c r="AK117" i="1"/>
  <c r="F118" i="1"/>
  <c r="G118" i="1"/>
  <c r="H118" i="1"/>
  <c r="I118" i="1"/>
  <c r="J118" i="1"/>
  <c r="K118" i="1"/>
  <c r="L118" i="1"/>
  <c r="M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D118" i="1"/>
  <c r="AE118" i="1"/>
  <c r="AF118" i="1"/>
  <c r="AG118" i="1"/>
  <c r="AH118" i="1"/>
  <c r="AI118" i="1"/>
  <c r="AJ118" i="1"/>
  <c r="AK118" i="1"/>
  <c r="F119" i="1"/>
  <c r="G119" i="1"/>
  <c r="H119" i="1"/>
  <c r="I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J120" i="1"/>
  <c r="AK120" i="1"/>
  <c r="F121" i="1"/>
  <c r="G121" i="1"/>
  <c r="H121" i="1"/>
  <c r="I121" i="1"/>
  <c r="J121" i="1"/>
  <c r="K121" i="1"/>
  <c r="L121" i="1"/>
  <c r="M121" i="1"/>
  <c r="N121" i="1"/>
  <c r="O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F121" i="1"/>
  <c r="AG121" i="1"/>
  <c r="AH121" i="1"/>
  <c r="AI121" i="1"/>
  <c r="AJ121" i="1"/>
  <c r="AK121" i="1"/>
  <c r="F122" i="1"/>
  <c r="G122" i="1"/>
  <c r="H122" i="1"/>
  <c r="I122" i="1"/>
  <c r="J122" i="1"/>
  <c r="K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AB122" i="1"/>
  <c r="AC122" i="1"/>
  <c r="AD122" i="1"/>
  <c r="AE122" i="1"/>
  <c r="AF122" i="1"/>
  <c r="AG122" i="1"/>
  <c r="AH122" i="1"/>
  <c r="AI122" i="1"/>
  <c r="AJ122" i="1"/>
  <c r="AK122" i="1"/>
  <c r="F123" i="1"/>
  <c r="G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R92" i="1" l="1"/>
  <c r="Q92" i="1"/>
  <c r="P92" i="1"/>
  <c r="O92" i="1"/>
  <c r="N92" i="1"/>
  <c r="M92" i="1"/>
  <c r="L92" i="1"/>
  <c r="K92" i="1"/>
  <c r="J92" i="1"/>
  <c r="I92" i="1"/>
  <c r="X102" i="1"/>
  <c r="AF100" i="1"/>
  <c r="AJ99" i="1"/>
  <c r="H99" i="1"/>
  <c r="L98" i="1"/>
  <c r="P97" i="1"/>
  <c r="T96" i="1"/>
  <c r="X95" i="1"/>
  <c r="AB94" i="1"/>
  <c r="AF93" i="1"/>
  <c r="AJ92" i="1"/>
  <c r="H92" i="1"/>
  <c r="AK123" i="1"/>
  <c r="W123" i="1"/>
  <c r="I123" i="1"/>
  <c r="AA122" i="1"/>
  <c r="M122" i="1"/>
  <c r="AE121" i="1"/>
  <c r="Q121" i="1"/>
  <c r="AI120" i="1"/>
  <c r="U120" i="1"/>
  <c r="G120" i="1"/>
  <c r="Y119" i="1"/>
  <c r="K119" i="1"/>
  <c r="AC118" i="1"/>
  <c r="O118" i="1"/>
  <c r="AG117" i="1"/>
  <c r="S117" i="1"/>
  <c r="AK116" i="1"/>
  <c r="W116" i="1"/>
  <c r="I116" i="1"/>
  <c r="AA115" i="1"/>
  <c r="M115" i="1"/>
  <c r="AE114" i="1"/>
  <c r="Q114" i="1"/>
  <c r="AI113" i="1"/>
  <c r="U113" i="1"/>
  <c r="G113" i="1"/>
  <c r="Y112" i="1"/>
  <c r="K112" i="1"/>
  <c r="AC111" i="1"/>
  <c r="O111" i="1"/>
  <c r="AG110" i="1"/>
  <c r="S110" i="1"/>
  <c r="AK109" i="1"/>
  <c r="W109" i="1"/>
  <c r="I109" i="1"/>
  <c r="AA108" i="1"/>
  <c r="M108" i="1"/>
  <c r="AE107" i="1"/>
  <c r="Q107" i="1"/>
  <c r="AI106" i="1"/>
  <c r="U106" i="1"/>
  <c r="G106" i="1"/>
  <c r="Y105" i="1"/>
  <c r="K105" i="1"/>
  <c r="AC104" i="1"/>
  <c r="O104" i="1"/>
  <c r="AG103" i="1"/>
  <c r="S103" i="1"/>
  <c r="AK102" i="1"/>
  <c r="W102" i="1"/>
  <c r="I102" i="1"/>
  <c r="AA101" i="1"/>
  <c r="M101" i="1"/>
  <c r="AE100" i="1"/>
  <c r="Q100" i="1"/>
  <c r="AI99" i="1"/>
  <c r="U99" i="1"/>
  <c r="G99" i="1"/>
  <c r="Y98" i="1"/>
  <c r="K98" i="1"/>
  <c r="AC97" i="1"/>
  <c r="O97" i="1"/>
  <c r="AG96" i="1"/>
  <c r="S96" i="1"/>
  <c r="AK95" i="1"/>
  <c r="W95" i="1"/>
  <c r="I95" i="1"/>
  <c r="AA94" i="1"/>
  <c r="M94" i="1"/>
  <c r="AE93" i="1"/>
  <c r="Q93" i="1"/>
  <c r="AI92" i="1"/>
  <c r="U92" i="1"/>
  <c r="G92" i="1"/>
  <c r="N101" i="1"/>
  <c r="R100" i="1"/>
  <c r="V99" i="1"/>
  <c r="Z98" i="1"/>
  <c r="AD97" i="1"/>
  <c r="AH96" i="1"/>
  <c r="F96" i="1"/>
  <c r="J95" i="1"/>
  <c r="N94" i="1"/>
  <c r="R93" i="1"/>
  <c r="V92" i="1"/>
  <c r="AJ123" i="1"/>
  <c r="V123" i="1"/>
  <c r="H123" i="1"/>
  <c r="Z122" i="1"/>
  <c r="L122" i="1"/>
  <c r="AD121" i="1"/>
  <c r="P121" i="1"/>
  <c r="AH120" i="1"/>
  <c r="T120" i="1"/>
  <c r="F120" i="1"/>
  <c r="X119" i="1"/>
  <c r="J119" i="1"/>
  <c r="AB118" i="1"/>
  <c r="N118" i="1"/>
  <c r="AF117" i="1"/>
  <c r="R117" i="1"/>
  <c r="AJ116" i="1"/>
  <c r="V116" i="1"/>
  <c r="H116" i="1"/>
  <c r="Z115" i="1"/>
  <c r="L115" i="1"/>
  <c r="AD114" i="1"/>
  <c r="P114" i="1"/>
  <c r="AH113" i="1"/>
  <c r="T113" i="1"/>
  <c r="F113" i="1"/>
  <c r="X112" i="1"/>
  <c r="J112" i="1"/>
  <c r="AB111" i="1"/>
  <c r="N111" i="1"/>
  <c r="AF110" i="1"/>
  <c r="R110" i="1"/>
  <c r="AJ109" i="1"/>
  <c r="V109" i="1"/>
  <c r="H109" i="1"/>
  <c r="Z108" i="1"/>
  <c r="L108" i="1"/>
  <c r="AD107" i="1"/>
  <c r="P107" i="1"/>
  <c r="AH106" i="1"/>
  <c r="T106" i="1"/>
  <c r="F106" i="1"/>
  <c r="X105" i="1"/>
  <c r="J105" i="1"/>
  <c r="AB104" i="1"/>
  <c r="N104" i="1"/>
  <c r="AF103" i="1"/>
  <c r="R103" i="1"/>
  <c r="AJ102" i="1"/>
  <c r="V102" i="1"/>
  <c r="H102" i="1"/>
  <c r="Z101" i="1"/>
  <c r="L101" i="1"/>
  <c r="AD100" i="1"/>
  <c r="P100" i="1"/>
  <c r="AH99" i="1"/>
  <c r="T99" i="1"/>
  <c r="F99" i="1"/>
  <c r="X98" i="1"/>
  <c r="J98" i="1"/>
  <c r="AB97" i="1"/>
  <c r="N97" i="1"/>
  <c r="AF96" i="1"/>
  <c r="R96" i="1"/>
  <c r="AJ95" i="1"/>
  <c r="V95" i="1"/>
  <c r="H95" i="1"/>
  <c r="Z94" i="1"/>
  <c r="L94" i="1"/>
  <c r="AD93" i="1"/>
  <c r="P93" i="1"/>
  <c r="AH92" i="1"/>
  <c r="T92" i="1"/>
  <c r="G52" i="1"/>
  <c r="L68" i="1"/>
  <c r="G36" i="1" l="1"/>
  <c r="I62" i="1"/>
  <c r="H62" i="1"/>
  <c r="I61" i="1"/>
  <c r="H61" i="1"/>
  <c r="K66" i="1" a="1"/>
  <c r="K66" i="1" s="1"/>
  <c r="J66" i="1" a="1"/>
  <c r="J66" i="1" s="1"/>
  <c r="N68" i="1" a="1"/>
  <c r="O68" i="1" s="1"/>
  <c r="N66" i="1" a="1"/>
  <c r="N66" i="1" s="1"/>
  <c r="G35" i="1" a="1"/>
  <c r="G35" i="1" s="1"/>
  <c r="G34" i="1"/>
  <c r="F33" i="1"/>
  <c r="K68" i="1" l="1"/>
  <c r="K67" i="1"/>
  <c r="J68" i="1"/>
  <c r="J67" i="1"/>
  <c r="V68" i="1"/>
  <c r="U68" i="1"/>
  <c r="S68" i="1"/>
  <c r="P68" i="1"/>
  <c r="N68" i="1"/>
  <c r="T68" i="1"/>
  <c r="Z68" i="1"/>
  <c r="R68" i="1"/>
  <c r="Y68" i="1"/>
  <c r="Q68" i="1"/>
  <c r="X68" i="1"/>
  <c r="W68" i="1"/>
  <c r="T66" i="1"/>
  <c r="Z66" i="1"/>
  <c r="Y66" i="1"/>
  <c r="X66" i="1"/>
  <c r="P66" i="1"/>
  <c r="U66" i="1"/>
  <c r="S66" i="1"/>
  <c r="Q66" i="1"/>
  <c r="W66" i="1"/>
  <c r="O66" i="1"/>
  <c r="R66" i="1"/>
  <c r="V66" i="1"/>
  <c r="F38" i="1"/>
  <c r="F37" i="1"/>
  <c r="F66" i="1"/>
  <c r="F84" i="1" l="1" a="1"/>
  <c r="F84" i="1" s="1"/>
  <c r="F126" i="1" a="1"/>
  <c r="R84" i="1" l="1"/>
  <c r="H85" i="1"/>
  <c r="AG84" i="1"/>
  <c r="AJ86" i="1"/>
  <c r="X84" i="1"/>
  <c r="S84" i="1"/>
  <c r="AK86" i="1"/>
  <c r="K85" i="1"/>
  <c r="T84" i="1"/>
  <c r="AJ84" i="1"/>
  <c r="AD85" i="1"/>
  <c r="S86" i="1"/>
  <c r="N86" i="1"/>
  <c r="G84" i="1"/>
  <c r="U85" i="1"/>
  <c r="AD86" i="1"/>
  <c r="AG85" i="1"/>
  <c r="AB85" i="1"/>
  <c r="M85" i="1"/>
  <c r="I85" i="1"/>
  <c r="V84" i="1"/>
  <c r="J84" i="1"/>
  <c r="AH84" i="1"/>
  <c r="AC84" i="1"/>
  <c r="P85" i="1"/>
  <c r="M86" i="1"/>
  <c r="L85" i="1"/>
  <c r="P86" i="1"/>
  <c r="AF84" i="1"/>
  <c r="AA84" i="1"/>
  <c r="V86" i="1"/>
  <c r="AB86" i="1"/>
  <c r="AE84" i="1"/>
  <c r="AB84" i="1"/>
  <c r="O86" i="1"/>
  <c r="AC85" i="1"/>
  <c r="Y85" i="1"/>
  <c r="K86" i="1"/>
  <c r="AF86" i="1"/>
  <c r="F86" i="1"/>
  <c r="AA86" i="1"/>
  <c r="Y86" i="1"/>
  <c r="I84" i="1"/>
  <c r="AG86" i="1"/>
  <c r="T86" i="1"/>
  <c r="R86" i="1"/>
  <c r="U86" i="1"/>
  <c r="AI86" i="1"/>
  <c r="AA85" i="1"/>
  <c r="W84" i="1"/>
  <c r="AD84" i="1"/>
  <c r="X86" i="1"/>
  <c r="Q84" i="1"/>
  <c r="L86" i="1"/>
  <c r="N85" i="1"/>
  <c r="P84" i="1"/>
  <c r="AK85" i="1"/>
  <c r="G85" i="1"/>
  <c r="Q86" i="1"/>
  <c r="W85" i="1"/>
  <c r="Z86" i="1"/>
  <c r="Z84" i="1"/>
  <c r="L84" i="1"/>
  <c r="AE86" i="1"/>
  <c r="R85" i="1"/>
  <c r="N84" i="1"/>
  <c r="J86" i="1"/>
  <c r="AF85" i="1"/>
  <c r="S85" i="1"/>
  <c r="AH86" i="1"/>
  <c r="AC86" i="1"/>
  <c r="Y84" i="1"/>
  <c r="O84" i="1"/>
  <c r="AE85" i="1"/>
  <c r="F85" i="1"/>
  <c r="X85" i="1"/>
  <c r="K84" i="1"/>
  <c r="AI85" i="1"/>
  <c r="T85" i="1"/>
  <c r="I86" i="1"/>
  <c r="O85" i="1"/>
  <c r="AJ85" i="1"/>
  <c r="Z85" i="1"/>
  <c r="W86" i="1"/>
  <c r="H86" i="1"/>
  <c r="M84" i="1"/>
  <c r="H84" i="1"/>
  <c r="AH85" i="1"/>
  <c r="Q85" i="1"/>
  <c r="V85" i="1"/>
  <c r="U84" i="1"/>
  <c r="J85" i="1"/>
  <c r="G86" i="1"/>
  <c r="AK84" i="1"/>
  <c r="AI84" i="1"/>
  <c r="F126" i="1"/>
  <c r="Y155" i="1"/>
  <c r="W157" i="1"/>
  <c r="W155" i="1"/>
  <c r="AE151" i="1"/>
  <c r="AE147" i="1"/>
  <c r="AA142" i="1"/>
  <c r="M137" i="1"/>
  <c r="Z129" i="1"/>
  <c r="N157" i="1"/>
  <c r="N155" i="1"/>
  <c r="N151" i="1"/>
  <c r="N147" i="1"/>
  <c r="AJ141" i="1"/>
  <c r="S136" i="1"/>
  <c r="U128" i="1"/>
  <c r="AI138" i="1"/>
  <c r="AC156" i="1"/>
  <c r="M154" i="1"/>
  <c r="M150" i="1"/>
  <c r="AI145" i="1"/>
  <c r="Y140" i="1"/>
  <c r="T134" i="1"/>
  <c r="AG156" i="1"/>
  <c r="AJ129" i="1"/>
  <c r="L156" i="1"/>
  <c r="L153" i="1"/>
  <c r="L149" i="1"/>
  <c r="X144" i="1"/>
  <c r="L139" i="1"/>
  <c r="S132" i="1"/>
  <c r="AK150" i="1"/>
  <c r="S157" i="1"/>
  <c r="S155" i="1"/>
  <c r="W151" i="1"/>
  <c r="W147" i="1"/>
  <c r="Q142" i="1"/>
  <c r="AH136" i="1"/>
  <c r="J129" i="1"/>
  <c r="Y143" i="1"/>
  <c r="Z156" i="1"/>
  <c r="F154" i="1"/>
  <c r="F150" i="1"/>
  <c r="Z145" i="1"/>
  <c r="P140" i="1"/>
  <c r="AK133" i="1"/>
  <c r="Y157" i="1"/>
  <c r="X157" i="1"/>
  <c r="X155" i="1"/>
  <c r="AJ151" i="1"/>
  <c r="AJ147" i="1"/>
  <c r="AH142" i="1"/>
  <c r="U137" i="1"/>
  <c r="AI129" i="1"/>
  <c r="S126" i="1"/>
  <c r="S153" i="1"/>
  <c r="S151" i="1"/>
  <c r="S149" i="1"/>
  <c r="S147" i="1"/>
  <c r="AG144" i="1"/>
  <c r="K142" i="1"/>
  <c r="U139" i="1"/>
  <c r="AA136" i="1"/>
  <c r="AH132" i="1"/>
  <c r="AH128" i="1"/>
  <c r="Z154" i="1"/>
  <c r="Z152" i="1"/>
  <c r="Z150" i="1"/>
  <c r="Z148" i="1"/>
  <c r="T146" i="1"/>
  <c r="AF143" i="1"/>
  <c r="J141" i="1"/>
  <c r="T138" i="1"/>
  <c r="M135" i="1"/>
  <c r="M131" i="1"/>
  <c r="M127" i="1"/>
  <c r="AG153" i="1"/>
  <c r="AG151" i="1"/>
  <c r="U152" i="1"/>
  <c r="O157" i="1"/>
  <c r="O155" i="1"/>
  <c r="O151" i="1"/>
  <c r="O147" i="1"/>
  <c r="AK141" i="1"/>
  <c r="T136" i="1"/>
  <c r="Z128" i="1"/>
  <c r="F157" i="1"/>
  <c r="AD154" i="1"/>
  <c r="AD150" i="1"/>
  <c r="Z146" i="1"/>
  <c r="P141" i="1"/>
  <c r="U135" i="1"/>
  <c r="U127" i="1"/>
  <c r="AJ135" i="1"/>
  <c r="U156" i="1"/>
  <c r="AC153" i="1"/>
  <c r="AC149" i="1"/>
  <c r="M145" i="1"/>
  <c r="AI139" i="1"/>
  <c r="AK148" i="1"/>
  <c r="G157" i="1"/>
  <c r="AE154" i="1"/>
  <c r="AE150" i="1"/>
  <c r="AA146" i="1"/>
  <c r="Q141" i="1"/>
  <c r="Z135" i="1"/>
  <c r="Z127" i="1"/>
  <c r="AD156" i="1"/>
  <c r="N154" i="1"/>
  <c r="N150" i="1"/>
  <c r="AJ145" i="1"/>
  <c r="Z140" i="1"/>
  <c r="U134" i="1"/>
  <c r="Q157" i="1"/>
  <c r="AJ130" i="1"/>
  <c r="M156" i="1"/>
  <c r="M153" i="1"/>
  <c r="M149" i="1"/>
  <c r="Y144" i="1"/>
  <c r="M139" i="1"/>
  <c r="T132" i="1"/>
  <c r="AK151" i="1"/>
  <c r="AB157" i="1"/>
  <c r="AB155" i="1"/>
  <c r="L152" i="1"/>
  <c r="L148" i="1"/>
  <c r="L143" i="1"/>
  <c r="AH137" i="1"/>
  <c r="S130" i="1"/>
  <c r="M144" i="1"/>
  <c r="AI156" i="1"/>
  <c r="W154" i="1"/>
  <c r="W150" i="1"/>
  <c r="Q146" i="1"/>
  <c r="AK140" i="1"/>
  <c r="J135" i="1"/>
  <c r="J127" i="1"/>
  <c r="AJ132" i="1"/>
  <c r="J156" i="1"/>
  <c r="F153" i="1"/>
  <c r="F149" i="1"/>
  <c r="P144" i="1"/>
  <c r="AJ138" i="1"/>
  <c r="AK131" i="1"/>
  <c r="AK152" i="1"/>
  <c r="H157" i="1"/>
  <c r="AJ154" i="1"/>
  <c r="AJ150" i="1"/>
  <c r="AH146" i="1"/>
  <c r="X141" i="1"/>
  <c r="AI135" i="1"/>
  <c r="AI127" i="1"/>
  <c r="AI154" i="1"/>
  <c r="AI152" i="1"/>
  <c r="AI150" i="1"/>
  <c r="AI148" i="1"/>
  <c r="AG146" i="1"/>
  <c r="K144" i="1"/>
  <c r="U141" i="1"/>
  <c r="AG138" i="1"/>
  <c r="AH135" i="1"/>
  <c r="AH131" i="1"/>
  <c r="AH127" i="1"/>
  <c r="J154" i="1"/>
  <c r="J152" i="1"/>
  <c r="J150" i="1"/>
  <c r="J148" i="1"/>
  <c r="AF145" i="1"/>
  <c r="J143" i="1"/>
  <c r="T140" i="1"/>
  <c r="AF137" i="1"/>
  <c r="M134" i="1"/>
  <c r="M130" i="1"/>
  <c r="M126" i="1"/>
  <c r="Q153" i="1"/>
  <c r="Q151" i="1"/>
  <c r="Y145" i="1"/>
  <c r="AE156" i="1"/>
  <c r="O154" i="1"/>
  <c r="O150" i="1"/>
  <c r="AK145" i="1"/>
  <c r="AA140" i="1"/>
  <c r="Z134" i="1"/>
  <c r="AK154" i="1"/>
  <c r="V156" i="1"/>
  <c r="AD153" i="1"/>
  <c r="AD149" i="1"/>
  <c r="P145" i="1"/>
  <c r="AJ139" i="1"/>
  <c r="U133" i="1"/>
  <c r="AG155" i="1"/>
  <c r="AK157" i="1"/>
  <c r="AK155" i="1"/>
  <c r="AC152" i="1"/>
  <c r="AC148" i="1"/>
  <c r="AI143" i="1"/>
  <c r="Y138" i="1"/>
  <c r="T131" i="1"/>
  <c r="U149" i="1"/>
  <c r="T157" i="1"/>
  <c r="T155" i="1"/>
  <c r="AB151" i="1"/>
  <c r="AB147" i="1"/>
  <c r="X142" i="1"/>
  <c r="J137" i="1"/>
  <c r="S129" i="1"/>
  <c r="AI140" i="1"/>
  <c r="AA156" i="1"/>
  <c r="G154" i="1"/>
  <c r="G150" i="1"/>
  <c r="AA145" i="1"/>
  <c r="Q140" i="1"/>
  <c r="J134" i="1"/>
  <c r="AG157" i="1"/>
  <c r="AH157" i="1"/>
  <c r="AH155" i="1"/>
  <c r="V152" i="1"/>
  <c r="V148" i="1"/>
  <c r="Z143" i="1"/>
  <c r="P138" i="1"/>
  <c r="AK130" i="1"/>
  <c r="AK149" i="1"/>
  <c r="AF156" i="1"/>
  <c r="T154" i="1"/>
  <c r="T150" i="1"/>
  <c r="L146" i="1"/>
  <c r="AH140" i="1"/>
  <c r="AI134" i="1"/>
  <c r="AK126" i="1"/>
  <c r="AA154" i="1"/>
  <c r="AA152" i="1"/>
  <c r="AA150" i="1"/>
  <c r="AA148" i="1"/>
  <c r="U146" i="1"/>
  <c r="AG143" i="1"/>
  <c r="K141" i="1"/>
  <c r="U138" i="1"/>
  <c r="R135" i="1"/>
  <c r="R131" i="1"/>
  <c r="R127" i="1"/>
  <c r="AH153" i="1"/>
  <c r="AH151" i="1"/>
  <c r="AH149" i="1"/>
  <c r="AH147" i="1"/>
  <c r="T145" i="1"/>
  <c r="AF142" i="1"/>
  <c r="J140" i="1"/>
  <c r="S137" i="1"/>
  <c r="AC133" i="1"/>
  <c r="AC129" i="1"/>
  <c r="I155" i="1"/>
  <c r="I153" i="1"/>
  <c r="I151" i="1"/>
  <c r="AC136" i="1"/>
  <c r="O153" i="1"/>
  <c r="AA144" i="1"/>
  <c r="Z132" i="1"/>
  <c r="F156" i="1"/>
  <c r="AD148" i="1"/>
  <c r="Z138" i="1"/>
  <c r="U150" i="1"/>
  <c r="U155" i="1"/>
  <c r="AC147" i="1"/>
  <c r="K137" i="1"/>
  <c r="Q155" i="1"/>
  <c r="AB156" i="1"/>
  <c r="L151" i="1"/>
  <c r="L145" i="1"/>
  <c r="S135" i="1"/>
  <c r="AK147" i="1"/>
  <c r="AI155" i="1"/>
  <c r="W149" i="1"/>
  <c r="AK142" i="1"/>
  <c r="J132" i="1"/>
  <c r="Y139" i="1"/>
  <c r="F155" i="1"/>
  <c r="F148" i="1"/>
  <c r="AJ140" i="1"/>
  <c r="AK128" i="1"/>
  <c r="P157" i="1"/>
  <c r="AJ152" i="1"/>
  <c r="X145" i="1"/>
  <c r="L138" i="1"/>
  <c r="AJ126" i="1"/>
  <c r="K153" i="1"/>
  <c r="AI149" i="1"/>
  <c r="K146" i="1"/>
  <c r="U142" i="1"/>
  <c r="AG137" i="1"/>
  <c r="R132" i="1"/>
  <c r="J155" i="1"/>
  <c r="Z151" i="1"/>
  <c r="AH148" i="1"/>
  <c r="AF144" i="1"/>
  <c r="AF140" i="1"/>
  <c r="L136" i="1"/>
  <c r="M129" i="1"/>
  <c r="I154" i="1"/>
  <c r="Y150" i="1"/>
  <c r="Y148" i="1"/>
  <c r="S146" i="1"/>
  <c r="AC143" i="1"/>
  <c r="I141" i="1"/>
  <c r="S138" i="1"/>
  <c r="L135" i="1"/>
  <c r="L131" i="1"/>
  <c r="L127" i="1"/>
  <c r="AF153" i="1"/>
  <c r="AF151" i="1"/>
  <c r="AF149" i="1"/>
  <c r="AF147" i="1"/>
  <c r="R145" i="1"/>
  <c r="AB142" i="1"/>
  <c r="H140" i="1"/>
  <c r="Q137" i="1"/>
  <c r="AA133" i="1"/>
  <c r="AA129" i="1"/>
  <c r="J126" i="1"/>
  <c r="I134" i="1"/>
  <c r="I132" i="1"/>
  <c r="I130" i="1"/>
  <c r="I128" i="1"/>
  <c r="I126" i="1"/>
  <c r="AF135" i="1"/>
  <c r="AF133" i="1"/>
  <c r="AF131" i="1"/>
  <c r="AF129" i="1"/>
  <c r="AF127" i="1"/>
  <c r="G147" i="1"/>
  <c r="G145" i="1"/>
  <c r="G143" i="1"/>
  <c r="G141" i="1"/>
  <c r="G139" i="1"/>
  <c r="G137" i="1"/>
  <c r="AJ128" i="1"/>
  <c r="AE152" i="1"/>
  <c r="AK143" i="1"/>
  <c r="Z131" i="1"/>
  <c r="AD155" i="1"/>
  <c r="N148" i="1"/>
  <c r="AJ137" i="1"/>
  <c r="AI146" i="1"/>
  <c r="M155" i="1"/>
  <c r="M147" i="1"/>
  <c r="R136" i="1"/>
  <c r="AI144" i="1"/>
  <c r="T156" i="1"/>
  <c r="AB150" i="1"/>
  <c r="AH143" i="1"/>
  <c r="S134" i="1"/>
  <c r="Y137" i="1"/>
  <c r="AA155" i="1"/>
  <c r="G149" i="1"/>
  <c r="AA141" i="1"/>
  <c r="J131" i="1"/>
  <c r="Z157" i="1"/>
  <c r="V154" i="1"/>
  <c r="V147" i="1"/>
  <c r="Z139" i="1"/>
  <c r="AK127" i="1"/>
  <c r="X156" i="1"/>
  <c r="T152" i="1"/>
  <c r="AH144" i="1"/>
  <c r="AB136" i="1"/>
  <c r="T126" i="1"/>
  <c r="S152" i="1"/>
  <c r="AA149" i="1"/>
  <c r="AG145" i="1"/>
  <c r="AG141" i="1"/>
  <c r="T137" i="1"/>
  <c r="AH130" i="1"/>
  <c r="AH154" i="1"/>
  <c r="R151" i="1"/>
  <c r="R148" i="1"/>
  <c r="T144" i="1"/>
  <c r="AF139" i="1"/>
  <c r="AC135" i="1"/>
  <c r="AC128" i="1"/>
  <c r="Y153" i="1"/>
  <c r="Q150" i="1"/>
  <c r="Q148" i="1"/>
  <c r="I146" i="1"/>
  <c r="S143" i="1"/>
  <c r="AC140" i="1"/>
  <c r="I138" i="1"/>
  <c r="AB134" i="1"/>
  <c r="AB130" i="1"/>
  <c r="AB126" i="1"/>
  <c r="X153" i="1"/>
  <c r="X151" i="1"/>
  <c r="X149" i="1"/>
  <c r="X147" i="1"/>
  <c r="H145" i="1"/>
  <c r="R142" i="1"/>
  <c r="AB139" i="1"/>
  <c r="AI136" i="1"/>
  <c r="K133" i="1"/>
  <c r="K129" i="1"/>
  <c r="AG135" i="1"/>
  <c r="AG133" i="1"/>
  <c r="AG131" i="1"/>
  <c r="AG129" i="1"/>
  <c r="AG127" i="1"/>
  <c r="X137" i="1"/>
  <c r="X135" i="1"/>
  <c r="X133" i="1"/>
  <c r="X131" i="1"/>
  <c r="X129" i="1"/>
  <c r="X127" i="1"/>
  <c r="AE146" i="1"/>
  <c r="AE144" i="1"/>
  <c r="AE142" i="1"/>
  <c r="AE140" i="1"/>
  <c r="AE138" i="1"/>
  <c r="AE136" i="1"/>
  <c r="AE134" i="1"/>
  <c r="AE132" i="1"/>
  <c r="AE130" i="1"/>
  <c r="AE128" i="1"/>
  <c r="AE126" i="1"/>
  <c r="F146" i="1"/>
  <c r="F144" i="1"/>
  <c r="F142" i="1"/>
  <c r="F140" i="1"/>
  <c r="F138" i="1"/>
  <c r="F136" i="1"/>
  <c r="F134" i="1"/>
  <c r="F132" i="1"/>
  <c r="F130" i="1"/>
  <c r="F128" i="1"/>
  <c r="W156" i="1"/>
  <c r="AE149" i="1"/>
  <c r="AK139" i="1"/>
  <c r="U147" i="1"/>
  <c r="N153" i="1"/>
  <c r="Z144" i="1"/>
  <c r="U132" i="1"/>
  <c r="AC157" i="1"/>
  <c r="M152" i="1"/>
  <c r="M143" i="1"/>
  <c r="T133" i="1"/>
  <c r="M138" i="1"/>
  <c r="L155" i="1"/>
  <c r="AB149" i="1"/>
  <c r="L141" i="1"/>
  <c r="S131" i="1"/>
  <c r="AI157" i="1"/>
  <c r="W153" i="1"/>
  <c r="G148" i="1"/>
  <c r="AK138" i="1"/>
  <c r="J128" i="1"/>
  <c r="J157" i="1"/>
  <c r="F152" i="1"/>
  <c r="P146" i="1"/>
  <c r="AG136" i="1"/>
  <c r="I156" i="1"/>
  <c r="H156" i="1"/>
  <c r="AJ149" i="1"/>
  <c r="X143" i="1"/>
  <c r="AI132" i="1"/>
  <c r="K155" i="1"/>
  <c r="AI151" i="1"/>
  <c r="S148" i="1"/>
  <c r="K145" i="1"/>
  <c r="U140" i="1"/>
  <c r="M136" i="1"/>
  <c r="AH129" i="1"/>
  <c r="Z153" i="1"/>
  <c r="AH150" i="1"/>
  <c r="R147" i="1"/>
  <c r="T143" i="1"/>
  <c r="J139" i="1"/>
  <c r="M133" i="1"/>
  <c r="AC127" i="1"/>
  <c r="Y152" i="1"/>
  <c r="AG149" i="1"/>
  <c r="AG147" i="1"/>
  <c r="S145" i="1"/>
  <c r="AC142" i="1"/>
  <c r="I140" i="1"/>
  <c r="R137" i="1"/>
  <c r="AB133" i="1"/>
  <c r="AB129" i="1"/>
  <c r="H155" i="1"/>
  <c r="H153" i="1"/>
  <c r="H151" i="1"/>
  <c r="H149" i="1"/>
  <c r="H147" i="1"/>
  <c r="R144" i="1"/>
  <c r="AB141" i="1"/>
  <c r="H139" i="1"/>
  <c r="J136" i="1"/>
  <c r="K132" i="1"/>
  <c r="O156" i="1"/>
  <c r="O149" i="1"/>
  <c r="Q139" i="1"/>
  <c r="AJ131" i="1"/>
  <c r="AD152" i="1"/>
  <c r="AJ143" i="1"/>
  <c r="U131" i="1"/>
  <c r="U157" i="1"/>
  <c r="AC151" i="1"/>
  <c r="Y142" i="1"/>
  <c r="T130" i="1"/>
  <c r="AJ134" i="1"/>
  <c r="AB154" i="1"/>
  <c r="AB148" i="1"/>
  <c r="X140" i="1"/>
  <c r="S128" i="1"/>
  <c r="AA157" i="1"/>
  <c r="G153" i="1"/>
  <c r="AK146" i="1"/>
  <c r="Q138" i="1"/>
  <c r="Q156" i="1"/>
  <c r="AH156" i="1"/>
  <c r="V151" i="1"/>
  <c r="AJ144" i="1"/>
  <c r="AK135" i="1"/>
  <c r="M146" i="1"/>
  <c r="AF155" i="1"/>
  <c r="T149" i="1"/>
  <c r="L142" i="1"/>
  <c r="AI131" i="1"/>
  <c r="S154" i="1"/>
  <c r="AA151" i="1"/>
  <c r="K148" i="1"/>
  <c r="U144" i="1"/>
  <c r="K140" i="1"/>
  <c r="AH134" i="1"/>
  <c r="R129" i="1"/>
  <c r="R153" i="1"/>
  <c r="R150" i="1"/>
  <c r="J147" i="1"/>
  <c r="T142" i="1"/>
  <c r="AF138" i="1"/>
  <c r="AC132" i="1"/>
  <c r="AC126" i="1"/>
  <c r="Q152" i="1"/>
  <c r="Y149" i="1"/>
  <c r="Y147" i="1"/>
  <c r="I145" i="1"/>
  <c r="S142" i="1"/>
  <c r="AC139" i="1"/>
  <c r="AJ136" i="1"/>
  <c r="L133" i="1"/>
  <c r="L129" i="1"/>
  <c r="AF154" i="1"/>
  <c r="AF152" i="1"/>
  <c r="AF150" i="1"/>
  <c r="AF148" i="1"/>
  <c r="AB146" i="1"/>
  <c r="H144" i="1"/>
  <c r="R141" i="1"/>
  <c r="AB138" i="1"/>
  <c r="AA135" i="1"/>
  <c r="AA131" i="1"/>
  <c r="AA127" i="1"/>
  <c r="I135" i="1"/>
  <c r="I133" i="1"/>
  <c r="I131" i="1"/>
  <c r="I129" i="1"/>
  <c r="I127" i="1"/>
  <c r="AF136" i="1"/>
  <c r="AF134" i="1"/>
  <c r="AF132" i="1"/>
  <c r="G156" i="1"/>
  <c r="AE148" i="1"/>
  <c r="AA138" i="1"/>
  <c r="AD157" i="1"/>
  <c r="N152" i="1"/>
  <c r="P143" i="1"/>
  <c r="U130" i="1"/>
  <c r="M157" i="1"/>
  <c r="M151" i="1"/>
  <c r="AI141" i="1"/>
  <c r="T129" i="1"/>
  <c r="AJ157" i="1"/>
  <c r="L154" i="1"/>
  <c r="L147" i="1"/>
  <c r="AH139" i="1"/>
  <c r="S127" i="1"/>
  <c r="K157" i="1"/>
  <c r="W152" i="1"/>
  <c r="AK144" i="1"/>
  <c r="AA137" i="1"/>
  <c r="AK153" i="1"/>
  <c r="R156" i="1"/>
  <c r="F151" i="1"/>
  <c r="AJ142" i="1"/>
  <c r="AK134" i="1"/>
  <c r="M140" i="1"/>
  <c r="P155" i="1"/>
  <c r="AJ148" i="1"/>
  <c r="L140" i="1"/>
  <c r="AI130" i="1"/>
  <c r="K154" i="1"/>
  <c r="K151" i="1"/>
  <c r="AI147" i="1"/>
  <c r="U143" i="1"/>
  <c r="AG139" i="1"/>
  <c r="R134" i="1"/>
  <c r="R128" i="1"/>
  <c r="J153" i="1"/>
  <c r="Z149" i="1"/>
  <c r="AF146" i="1"/>
  <c r="J142" i="1"/>
  <c r="J138" i="1"/>
  <c r="M132" i="1"/>
  <c r="AG154" i="1"/>
  <c r="I152" i="1"/>
  <c r="Q149" i="1"/>
  <c r="Q147" i="1"/>
  <c r="AC144" i="1"/>
  <c r="I142" i="1"/>
  <c r="S139" i="1"/>
  <c r="Y136" i="1"/>
  <c r="AB132" i="1"/>
  <c r="AB128" i="1"/>
  <c r="X154" i="1"/>
  <c r="X152" i="1"/>
  <c r="X150" i="1"/>
  <c r="X148" i="1"/>
  <c r="R146" i="1"/>
  <c r="AB143" i="1"/>
  <c r="H141" i="1"/>
  <c r="O148" i="1"/>
  <c r="V155" i="1"/>
  <c r="U153" i="1"/>
  <c r="M141" i="1"/>
  <c r="AJ155" i="1"/>
  <c r="Q136" i="1"/>
  <c r="G152" i="1"/>
  <c r="J130" i="1"/>
  <c r="V149" i="1"/>
  <c r="AJ127" i="1"/>
  <c r="L144" i="1"/>
  <c r="AA153" i="1"/>
  <c r="K143" i="1"/>
  <c r="R130" i="1"/>
  <c r="J149" i="1"/>
  <c r="AK136" i="1"/>
  <c r="AG152" i="1"/>
  <c r="AC146" i="1"/>
  <c r="I139" i="1"/>
  <c r="L130" i="1"/>
  <c r="H152" i="1"/>
  <c r="H146" i="1"/>
  <c r="R139" i="1"/>
  <c r="AA132" i="1"/>
  <c r="K126" i="1"/>
  <c r="AG132" i="1"/>
  <c r="Y129" i="1"/>
  <c r="Y126" i="1"/>
  <c r="H135" i="1"/>
  <c r="H132" i="1"/>
  <c r="H129" i="1"/>
  <c r="X126" i="1"/>
  <c r="O145" i="1"/>
  <c r="O142" i="1"/>
  <c r="AE139" i="1"/>
  <c r="O137" i="1"/>
  <c r="W134" i="1"/>
  <c r="O132" i="1"/>
  <c r="G130" i="1"/>
  <c r="AE127" i="1"/>
  <c r="AD146" i="1"/>
  <c r="V144" i="1"/>
  <c r="N142" i="1"/>
  <c r="AD139" i="1"/>
  <c r="V137" i="1"/>
  <c r="N135" i="1"/>
  <c r="F133" i="1"/>
  <c r="AD130" i="1"/>
  <c r="V128" i="1"/>
  <c r="N126" i="1"/>
  <c r="Q145" i="1"/>
  <c r="AD151" i="1"/>
  <c r="AI142" i="1"/>
  <c r="AI137" i="1"/>
  <c r="AB153" i="1"/>
  <c r="S133" i="1"/>
  <c r="G151" i="1"/>
  <c r="U151" i="1"/>
  <c r="AJ146" i="1"/>
  <c r="AF157" i="1"/>
  <c r="X139" i="1"/>
  <c r="K152" i="1"/>
  <c r="AG142" i="1"/>
  <c r="AH126" i="1"/>
  <c r="Z147" i="1"/>
  <c r="Z136" i="1"/>
  <c r="Y151" i="1"/>
  <c r="AC145" i="1"/>
  <c r="AC138" i="1"/>
  <c r="L128" i="1"/>
  <c r="P151" i="1"/>
  <c r="AB145" i="1"/>
  <c r="R138" i="1"/>
  <c r="K131" i="1"/>
  <c r="Y135" i="1"/>
  <c r="Y132" i="1"/>
  <c r="Q129" i="1"/>
  <c r="Q126" i="1"/>
  <c r="X134" i="1"/>
  <c r="P131" i="1"/>
  <c r="AF128" i="1"/>
  <c r="P126" i="1"/>
  <c r="W144" i="1"/>
  <c r="G142" i="1"/>
  <c r="W139" i="1"/>
  <c r="W136" i="1"/>
  <c r="O134" i="1"/>
  <c r="G132" i="1"/>
  <c r="AE129" i="1"/>
  <c r="W127" i="1"/>
  <c r="V146" i="1"/>
  <c r="N144" i="1"/>
  <c r="AD141" i="1"/>
  <c r="V139" i="1"/>
  <c r="N137" i="1"/>
  <c r="F135" i="1"/>
  <c r="AD132" i="1"/>
  <c r="V130" i="1"/>
  <c r="N128" i="1"/>
  <c r="I157" i="1"/>
  <c r="Q143" i="1"/>
  <c r="N149" i="1"/>
  <c r="AK156" i="1"/>
  <c r="T135" i="1"/>
  <c r="AB152" i="1"/>
  <c r="Y156" i="1"/>
  <c r="W148" i="1"/>
  <c r="U148" i="1"/>
  <c r="P142" i="1"/>
  <c r="P156" i="1"/>
  <c r="AH138" i="1"/>
  <c r="S150" i="1"/>
  <c r="AG140" i="1"/>
  <c r="R126" i="1"/>
  <c r="J146" i="1"/>
  <c r="AC134" i="1"/>
  <c r="AG150" i="1"/>
  <c r="S144" i="1"/>
  <c r="AC137" i="1"/>
  <c r="AB127" i="1"/>
  <c r="P150" i="1"/>
  <c r="AB144" i="1"/>
  <c r="H138" i="1"/>
  <c r="AA130" i="1"/>
  <c r="Q135" i="1"/>
  <c r="Q132" i="1"/>
  <c r="AG128" i="1"/>
  <c r="P137" i="1"/>
  <c r="P134" i="1"/>
  <c r="H131" i="1"/>
  <c r="X128" i="1"/>
  <c r="H126" i="1"/>
  <c r="O144" i="1"/>
  <c r="AE141" i="1"/>
  <c r="O139" i="1"/>
  <c r="O136" i="1"/>
  <c r="G134" i="1"/>
  <c r="AE131" i="1"/>
  <c r="W129" i="1"/>
  <c r="O127" i="1"/>
  <c r="N146" i="1"/>
  <c r="AD143" i="1"/>
  <c r="V141" i="1"/>
  <c r="N139" i="1"/>
  <c r="F137" i="1"/>
  <c r="AD134" i="1"/>
  <c r="V132" i="1"/>
  <c r="N130" i="1"/>
  <c r="AD127" i="1"/>
  <c r="AK132" i="1"/>
  <c r="Y127" i="1"/>
  <c r="G146" i="1"/>
  <c r="G138" i="1"/>
  <c r="O133" i="1"/>
  <c r="W128" i="1"/>
  <c r="N145" i="1"/>
  <c r="AD140" i="1"/>
  <c r="N136" i="1"/>
  <c r="AD133" i="1"/>
  <c r="N129" i="1"/>
  <c r="L157" i="1"/>
  <c r="AK129" i="1"/>
  <c r="AH133" i="1"/>
  <c r="Y154" i="1"/>
  <c r="L132" i="1"/>
  <c r="AB140" i="1"/>
  <c r="Y133" i="1"/>
  <c r="H136" i="1"/>
  <c r="H127" i="1"/>
  <c r="O140" i="1"/>
  <c r="G133" i="1"/>
  <c r="G126" i="1"/>
  <c r="N138" i="1"/>
  <c r="N131" i="1"/>
  <c r="J133" i="1"/>
  <c r="T139" i="1"/>
  <c r="P152" i="1"/>
  <c r="AA126" i="1"/>
  <c r="P132" i="1"/>
  <c r="W145" i="1"/>
  <c r="W137" i="1"/>
  <c r="Y141" i="1"/>
  <c r="AK137" i="1"/>
  <c r="AD147" i="1"/>
  <c r="AC155" i="1"/>
  <c r="T128" i="1"/>
  <c r="L150" i="1"/>
  <c r="U154" i="1"/>
  <c r="Q144" i="1"/>
  <c r="R157" i="1"/>
  <c r="Z141" i="1"/>
  <c r="AJ153" i="1"/>
  <c r="AI133" i="1"/>
  <c r="K150" i="1"/>
  <c r="K139" i="1"/>
  <c r="R154" i="1"/>
  <c r="J145" i="1"/>
  <c r="AC131" i="1"/>
  <c r="I150" i="1"/>
  <c r="I144" i="1"/>
  <c r="K136" i="1"/>
  <c r="L126" i="1"/>
  <c r="H150" i="1"/>
  <c r="R143" i="1"/>
  <c r="AB137" i="1"/>
  <c r="K130" i="1"/>
  <c r="AG134" i="1"/>
  <c r="Y131" i="1"/>
  <c r="Y128" i="1"/>
  <c r="H137" i="1"/>
  <c r="H134" i="1"/>
  <c r="AF130" i="1"/>
  <c r="P128" i="1"/>
  <c r="W146" i="1"/>
  <c r="G144" i="1"/>
  <c r="W141" i="1"/>
  <c r="W138" i="1"/>
  <c r="G136" i="1"/>
  <c r="AE133" i="1"/>
  <c r="W131" i="1"/>
  <c r="O129" i="1"/>
  <c r="G127" i="1"/>
  <c r="AD145" i="1"/>
  <c r="V143" i="1"/>
  <c r="N141" i="1"/>
  <c r="F139" i="1"/>
  <c r="AD136" i="1"/>
  <c r="V134" i="1"/>
  <c r="N132" i="1"/>
  <c r="AD129" i="1"/>
  <c r="V127" i="1"/>
  <c r="AE153" i="1"/>
  <c r="AI126" i="1"/>
  <c r="T141" i="1"/>
  <c r="S141" i="1"/>
  <c r="H148" i="1"/>
  <c r="K127" i="1"/>
  <c r="Q127" i="1"/>
  <c r="X132" i="1"/>
  <c r="AE145" i="1"/>
  <c r="AE137" i="1"/>
  <c r="W130" i="1"/>
  <c r="F145" i="1"/>
  <c r="V140" i="1"/>
  <c r="V133" i="1"/>
  <c r="F129" i="1"/>
  <c r="O152" i="1"/>
  <c r="U129" i="1"/>
  <c r="Y146" i="1"/>
  <c r="AJ156" i="1"/>
  <c r="G155" i="1"/>
  <c r="Z126" i="1"/>
  <c r="T147" i="1"/>
  <c r="U145" i="1"/>
  <c r="R149" i="1"/>
  <c r="I147" i="1"/>
  <c r="AB131" i="1"/>
  <c r="R140" i="1"/>
  <c r="Q133" i="1"/>
  <c r="P135" i="1"/>
  <c r="AF126" i="1"/>
  <c r="G140" i="1"/>
  <c r="W132" i="1"/>
  <c r="F147" i="1"/>
  <c r="V142" i="1"/>
  <c r="AE157" i="1"/>
  <c r="Z133" i="1"/>
  <c r="Z142" i="1"/>
  <c r="AC154" i="1"/>
  <c r="T127" i="1"/>
  <c r="X146" i="1"/>
  <c r="AJ133" i="1"/>
  <c r="AA143" i="1"/>
  <c r="Z155" i="1"/>
  <c r="Z137" i="1"/>
  <c r="T153" i="1"/>
  <c r="AI128" i="1"/>
  <c r="K149" i="1"/>
  <c r="K138" i="1"/>
  <c r="AH152" i="1"/>
  <c r="J144" i="1"/>
  <c r="AC130" i="1"/>
  <c r="I149" i="1"/>
  <c r="I143" i="1"/>
  <c r="AB135" i="1"/>
  <c r="P154" i="1"/>
  <c r="P149" i="1"/>
  <c r="H143" i="1"/>
  <c r="U136" i="1"/>
  <c r="AA128" i="1"/>
  <c r="Y134" i="1"/>
  <c r="Q131" i="1"/>
  <c r="Q128" i="1"/>
  <c r="X136" i="1"/>
  <c r="P133" i="1"/>
  <c r="X130" i="1"/>
  <c r="H128" i="1"/>
  <c r="O146" i="1"/>
  <c r="AE143" i="1"/>
  <c r="O141" i="1"/>
  <c r="O138" i="1"/>
  <c r="AE135" i="1"/>
  <c r="W133" i="1"/>
  <c r="O131" i="1"/>
  <c r="G129" i="1"/>
  <c r="W126" i="1"/>
  <c r="V145" i="1"/>
  <c r="N143" i="1"/>
  <c r="F141" i="1"/>
  <c r="AD138" i="1"/>
  <c r="V136" i="1"/>
  <c r="N134" i="1"/>
  <c r="AD131" i="1"/>
  <c r="V129" i="1"/>
  <c r="N127" i="1"/>
  <c r="AE155" i="1"/>
  <c r="Z130" i="1"/>
  <c r="P139" i="1"/>
  <c r="AC150" i="1"/>
  <c r="M142" i="1"/>
  <c r="AH145" i="1"/>
  <c r="S156" i="1"/>
  <c r="AA139" i="1"/>
  <c r="R155" i="1"/>
  <c r="T151" i="1"/>
  <c r="U126" i="1"/>
  <c r="AA147" i="1"/>
  <c r="I137" i="1"/>
  <c r="R152" i="1"/>
  <c r="AF141" i="1"/>
  <c r="M128" i="1"/>
  <c r="AG148" i="1"/>
  <c r="AC141" i="1"/>
  <c r="L134" i="1"/>
  <c r="H154" i="1"/>
  <c r="P148" i="1"/>
  <c r="H142" i="1"/>
  <c r="K135" i="1"/>
  <c r="K128" i="1"/>
  <c r="Q134" i="1"/>
  <c r="AG130" i="1"/>
  <c r="P136" i="1"/>
  <c r="H133" i="1"/>
  <c r="P130" i="1"/>
  <c r="P127" i="1"/>
  <c r="W143" i="1"/>
  <c r="W140" i="1"/>
  <c r="W135" i="1"/>
  <c r="G131" i="1"/>
  <c r="O126" i="1"/>
  <c r="F143" i="1"/>
  <c r="V138" i="1"/>
  <c r="V131" i="1"/>
  <c r="F127" i="1"/>
  <c r="V157" i="1"/>
  <c r="L137" i="1"/>
  <c r="M148" i="1"/>
  <c r="AH141" i="1"/>
  <c r="K156" i="1"/>
  <c r="I136" i="1"/>
  <c r="V153" i="1"/>
  <c r="T148" i="1"/>
  <c r="K147" i="1"/>
  <c r="J151" i="1"/>
  <c r="I148" i="1"/>
  <c r="P153" i="1"/>
  <c r="AA134" i="1"/>
  <c r="Y130" i="1"/>
  <c r="H130" i="1"/>
  <c r="O143" i="1"/>
  <c r="O135" i="1"/>
  <c r="O128" i="1"/>
  <c r="AD142" i="1"/>
  <c r="AD135" i="1"/>
  <c r="AD126" i="1"/>
  <c r="N156" i="1"/>
  <c r="X138" i="1"/>
  <c r="V150" i="1"/>
  <c r="AI153" i="1"/>
  <c r="R133" i="1"/>
  <c r="Q154" i="1"/>
  <c r="S140" i="1"/>
  <c r="P147" i="1"/>
  <c r="K134" i="1"/>
  <c r="Q130" i="1"/>
  <c r="AG126" i="1"/>
  <c r="P129" i="1"/>
  <c r="W142" i="1"/>
  <c r="G135" i="1"/>
  <c r="G128" i="1"/>
  <c r="AD144" i="1"/>
  <c r="O130" i="1"/>
  <c r="N140" i="1"/>
  <c r="AD137" i="1"/>
  <c r="V135" i="1"/>
  <c r="N133" i="1"/>
  <c r="F131" i="1"/>
  <c r="AD128" i="1"/>
  <c r="V126" i="1"/>
  <c r="C6" i="7" l="1" a="1"/>
  <c r="E6" i="7" a="1"/>
  <c r="F161" i="1" a="1"/>
  <c r="F161" i="1" s="1"/>
  <c r="G6" i="7" a="1"/>
  <c r="E6" i="7" l="1"/>
  <c r="E33" i="7"/>
  <c r="F19" i="7"/>
  <c r="F36" i="7"/>
  <c r="E23" i="7"/>
  <c r="E25" i="7"/>
  <c r="F22" i="7"/>
  <c r="E17" i="7"/>
  <c r="E22" i="7"/>
  <c r="F28" i="7"/>
  <c r="E18" i="7"/>
  <c r="F37" i="7"/>
  <c r="E34" i="7"/>
  <c r="E29" i="7"/>
  <c r="E30" i="7"/>
  <c r="F13" i="7"/>
  <c r="E21" i="7"/>
  <c r="F15" i="7"/>
  <c r="F12" i="7"/>
  <c r="E19" i="7"/>
  <c r="E13" i="7"/>
  <c r="F18" i="7"/>
  <c r="F32" i="7"/>
  <c r="F11" i="7"/>
  <c r="E28" i="7"/>
  <c r="E15" i="7"/>
  <c r="F24" i="7"/>
  <c r="F14" i="7"/>
  <c r="F20" i="7"/>
  <c r="E14" i="7"/>
  <c r="F7" i="7"/>
  <c r="E16" i="7"/>
  <c r="E11" i="7"/>
  <c r="E36" i="7"/>
  <c r="F10" i="7"/>
  <c r="E32" i="7"/>
  <c r="E10" i="7"/>
  <c r="F35" i="7"/>
  <c r="E12" i="7"/>
  <c r="F31" i="7"/>
  <c r="F34" i="7"/>
  <c r="F27" i="7"/>
  <c r="F30" i="7"/>
  <c r="F21" i="7"/>
  <c r="F26" i="7"/>
  <c r="F16" i="7"/>
  <c r="F17" i="7"/>
  <c r="F33" i="7"/>
  <c r="F25" i="7"/>
  <c r="E27" i="7"/>
  <c r="E26" i="7"/>
  <c r="E24" i="7"/>
  <c r="F29" i="7"/>
  <c r="E7" i="7"/>
  <c r="E8" i="7"/>
  <c r="F6" i="7"/>
  <c r="E35" i="7"/>
  <c r="E20" i="7"/>
  <c r="F9" i="7"/>
  <c r="F23" i="7"/>
  <c r="E37" i="7"/>
  <c r="F8" i="7"/>
  <c r="E31" i="7"/>
  <c r="E9" i="7"/>
  <c r="C7" i="7"/>
  <c r="C30" i="7"/>
  <c r="D33" i="7"/>
  <c r="C33" i="7"/>
  <c r="D18" i="7"/>
  <c r="C20" i="7"/>
  <c r="D15" i="7"/>
  <c r="D8" i="7"/>
  <c r="C19" i="7"/>
  <c r="C26" i="7"/>
  <c r="D29" i="7"/>
  <c r="C29" i="7"/>
  <c r="D10" i="7"/>
  <c r="C16" i="7"/>
  <c r="D11" i="7"/>
  <c r="C36" i="7"/>
  <c r="C15" i="7"/>
  <c r="D27" i="7"/>
  <c r="C32" i="7"/>
  <c r="D37" i="7"/>
  <c r="C22" i="7"/>
  <c r="D25" i="7"/>
  <c r="C25" i="7"/>
  <c r="D36" i="7"/>
  <c r="C8" i="7"/>
  <c r="D7" i="7"/>
  <c r="C28" i="7"/>
  <c r="C11" i="7"/>
  <c r="C18" i="7"/>
  <c r="D21" i="7"/>
  <c r="D28" i="7"/>
  <c r="D35" i="7"/>
  <c r="D26" i="7"/>
  <c r="C12" i="7"/>
  <c r="C14" i="7"/>
  <c r="D20" i="7"/>
  <c r="D14" i="7"/>
  <c r="D22" i="7"/>
  <c r="D12" i="7"/>
  <c r="D9" i="7"/>
  <c r="C27" i="7"/>
  <c r="C37" i="7"/>
  <c r="D16" i="7"/>
  <c r="C21" i="7"/>
  <c r="D17" i="7"/>
  <c r="D31" i="7"/>
  <c r="C13" i="7"/>
  <c r="C31" i="7"/>
  <c r="C6" i="7"/>
  <c r="D24" i="7"/>
  <c r="C24" i="7"/>
  <c r="D34" i="7"/>
  <c r="C17" i="7"/>
  <c r="C35" i="7"/>
  <c r="D13" i="7"/>
  <c r="D32" i="7"/>
  <c r="C9" i="7"/>
  <c r="D30" i="7"/>
  <c r="C23" i="7"/>
  <c r="C10" i="7"/>
  <c r="D6" i="7"/>
  <c r="D23" i="7"/>
  <c r="C34" i="7"/>
  <c r="D19" i="7"/>
  <c r="F167" i="1"/>
  <c r="AC167" i="1"/>
  <c r="K161" i="1"/>
  <c r="AD163" i="1"/>
  <c r="AA165" i="1"/>
  <c r="AI163" i="1"/>
  <c r="AA166" i="1"/>
  <c r="I163" i="1"/>
  <c r="H167" i="1"/>
  <c r="N161" i="1"/>
  <c r="AK161" i="1"/>
  <c r="M163" i="1"/>
  <c r="Q166" i="1"/>
  <c r="AD162" i="1"/>
  <c r="S161" i="1"/>
  <c r="Z166" i="1"/>
  <c r="AG162" i="1"/>
  <c r="N165" i="1"/>
  <c r="Q167" i="1"/>
  <c r="AH166" i="1"/>
  <c r="S166" i="1"/>
  <c r="V167" i="1"/>
  <c r="AC162" i="1"/>
  <c r="AI167" i="1"/>
  <c r="J161" i="1"/>
  <c r="N162" i="1"/>
  <c r="L164" i="1"/>
  <c r="AE166" i="1"/>
  <c r="W161" i="1"/>
  <c r="AH161" i="1"/>
  <c r="AE161" i="1"/>
  <c r="P165" i="1"/>
  <c r="J163" i="1"/>
  <c r="AD164" i="1"/>
  <c r="Z161" i="1"/>
  <c r="L163" i="1"/>
  <c r="K162" i="1"/>
  <c r="AB162" i="1"/>
  <c r="AF161" i="1"/>
  <c r="AG164" i="1"/>
  <c r="W164" i="1"/>
  <c r="AJ162" i="1"/>
  <c r="AA161" i="1"/>
  <c r="AD167" i="1"/>
  <c r="AJ163" i="1"/>
  <c r="Y161" i="1"/>
  <c r="AC161" i="1"/>
  <c r="AE162" i="1"/>
  <c r="AJ164" i="1"/>
  <c r="AG161" i="1"/>
  <c r="AK162" i="1"/>
  <c r="V165" i="1"/>
  <c r="N166" i="1"/>
  <c r="I162" i="1"/>
  <c r="AJ161" i="1"/>
  <c r="P166" i="1"/>
  <c r="W165" i="1"/>
  <c r="AC164" i="1"/>
  <c r="AE163" i="1"/>
  <c r="P167" i="1"/>
  <c r="AA167" i="1"/>
  <c r="R166" i="1"/>
  <c r="U161" i="1"/>
  <c r="Y162" i="1"/>
  <c r="M167" i="1"/>
  <c r="O162" i="1"/>
  <c r="AC166" i="1"/>
  <c r="G164" i="1"/>
  <c r="X167" i="1"/>
  <c r="L162" i="1"/>
  <c r="AI166" i="1"/>
  <c r="AB164" i="1"/>
  <c r="Q165" i="1"/>
  <c r="G167" i="1"/>
  <c r="AH162" i="1"/>
  <c r="O167" i="1"/>
  <c r="J164" i="1"/>
  <c r="AJ167" i="1"/>
  <c r="T165" i="1"/>
  <c r="I164" i="1"/>
  <c r="P163" i="1"/>
  <c r="G166" i="1"/>
  <c r="AC165" i="1"/>
  <c r="U162" i="1"/>
  <c r="AE164" i="1"/>
  <c r="AD165" i="1"/>
  <c r="M161" i="1"/>
  <c r="AI161" i="1"/>
  <c r="S167" i="1"/>
  <c r="AD166" i="1"/>
  <c r="S165" i="1"/>
  <c r="U166" i="1"/>
  <c r="T163" i="1"/>
  <c r="U165" i="1"/>
  <c r="AF163" i="1"/>
  <c r="AG166" i="1"/>
  <c r="AC163" i="1"/>
  <c r="P164" i="1"/>
  <c r="T166" i="1"/>
  <c r="AA162" i="1"/>
  <c r="M166" i="1"/>
  <c r="Y163" i="1"/>
  <c r="AH167" i="1"/>
  <c r="AK164" i="1"/>
  <c r="U167" i="1"/>
  <c r="AG163" i="1"/>
  <c r="N163" i="1"/>
  <c r="AK167" i="1"/>
  <c r="AI165" i="1"/>
  <c r="I166" i="1"/>
  <c r="H166" i="1"/>
  <c r="F164" i="1"/>
  <c r="AI162" i="1"/>
  <c r="V162" i="1"/>
  <c r="AE165" i="1"/>
  <c r="J167" i="1"/>
  <c r="U164" i="1"/>
  <c r="AF165" i="1"/>
  <c r="Z165" i="1"/>
  <c r="R161" i="1"/>
  <c r="S164" i="1"/>
  <c r="R162" i="1"/>
  <c r="AB166" i="1"/>
  <c r="X162" i="1"/>
  <c r="Y165" i="1"/>
  <c r="W166" i="1"/>
  <c r="F162" i="1"/>
  <c r="AF162" i="1"/>
  <c r="AG165" i="1"/>
  <c r="W162" i="1"/>
  <c r="J166" i="1"/>
  <c r="W163" i="1"/>
  <c r="K166" i="1"/>
  <c r="I161" i="1"/>
  <c r="J162" i="1"/>
  <c r="H161" i="1"/>
  <c r="V164" i="1"/>
  <c r="AE167" i="1"/>
  <c r="L161" i="1"/>
  <c r="R167" i="1"/>
  <c r="T161" i="1"/>
  <c r="X161" i="1"/>
  <c r="Y164" i="1"/>
  <c r="N167" i="1"/>
  <c r="O164" i="1"/>
  <c r="AF167" i="1"/>
  <c r="AB163" i="1"/>
  <c r="I165" i="1"/>
  <c r="AJ166" i="1"/>
  <c r="K165" i="1"/>
  <c r="G161" i="1"/>
  <c r="X164" i="1"/>
  <c r="Y167" i="1"/>
  <c r="H164" i="1"/>
  <c r="AA164" i="1"/>
  <c r="AF164" i="1"/>
  <c r="AG167" i="1"/>
  <c r="AH164" i="1"/>
  <c r="P162" i="1"/>
  <c r="W167" i="1"/>
  <c r="U163" i="1"/>
  <c r="Z167" i="1"/>
  <c r="O161" i="1"/>
  <c r="H165" i="1"/>
  <c r="V166" i="1"/>
  <c r="K164" i="1"/>
  <c r="M165" i="1"/>
  <c r="T162" i="1"/>
  <c r="M164" i="1"/>
  <c r="X163" i="1"/>
  <c r="Y166" i="1"/>
  <c r="F163" i="1"/>
  <c r="O166" i="1"/>
  <c r="S162" i="1"/>
  <c r="AK166" i="1"/>
  <c r="L165" i="1"/>
  <c r="Q161" i="1"/>
  <c r="L167" i="1"/>
  <c r="G163" i="1"/>
  <c r="X166" i="1"/>
  <c r="AA163" i="1"/>
  <c r="AB165" i="1"/>
  <c r="O163" i="1"/>
  <c r="AF166" i="1"/>
  <c r="AI164" i="1"/>
  <c r="H162" i="1"/>
  <c r="Z162" i="1"/>
  <c r="L166" i="1"/>
  <c r="R165" i="1"/>
  <c r="AJ165" i="1"/>
  <c r="N164" i="1"/>
  <c r="AH165" i="1"/>
  <c r="J165" i="1"/>
  <c r="T167" i="1"/>
  <c r="Q162" i="1"/>
  <c r="AK165" i="1"/>
  <c r="G162" i="1"/>
  <c r="X165" i="1"/>
  <c r="R164" i="1"/>
  <c r="F165" i="1"/>
  <c r="Z163" i="1"/>
  <c r="T164" i="1"/>
  <c r="K163" i="1"/>
  <c r="V161" i="1"/>
  <c r="Q163" i="1"/>
  <c r="AD161" i="1"/>
  <c r="G165" i="1"/>
  <c r="R163" i="1"/>
  <c r="AB167" i="1"/>
  <c r="I167" i="1"/>
  <c r="O165" i="1"/>
  <c r="Z164" i="1"/>
  <c r="M162" i="1"/>
  <c r="S163" i="1"/>
  <c r="F166" i="1"/>
  <c r="H163" i="1"/>
  <c r="AB161" i="1"/>
  <c r="V163" i="1"/>
  <c r="AH163" i="1"/>
  <c r="AK163" i="1"/>
  <c r="K167" i="1"/>
  <c r="P161" i="1"/>
  <c r="Q164" i="1"/>
  <c r="G6" i="7"/>
  <c r="G9" i="7"/>
  <c r="G25" i="7"/>
  <c r="G16" i="7"/>
  <c r="G15" i="7"/>
  <c r="H16" i="7"/>
  <c r="H26" i="7"/>
  <c r="G21" i="7"/>
  <c r="G34" i="7"/>
  <c r="H35" i="7"/>
  <c r="G27" i="7"/>
  <c r="H6" i="7"/>
  <c r="G14" i="7"/>
  <c r="H12" i="7"/>
  <c r="G32" i="7"/>
  <c r="H9" i="7"/>
  <c r="H7" i="7"/>
  <c r="H27" i="7"/>
  <c r="G11" i="7"/>
  <c r="G28" i="7"/>
  <c r="H22" i="7"/>
  <c r="H32" i="7"/>
  <c r="G30" i="7"/>
  <c r="H14" i="7"/>
  <c r="G18" i="7"/>
  <c r="G8" i="7"/>
  <c r="H37" i="7"/>
  <c r="G19" i="7"/>
  <c r="H19" i="7"/>
  <c r="H8" i="7"/>
  <c r="H17" i="7"/>
  <c r="H15" i="7"/>
  <c r="G7" i="7"/>
  <c r="G20" i="7"/>
  <c r="H18" i="7"/>
  <c r="H20" i="7"/>
  <c r="G26" i="7"/>
  <c r="H13" i="7"/>
  <c r="H28" i="7"/>
  <c r="H34" i="7"/>
  <c r="H21" i="7"/>
  <c r="H25" i="7"/>
  <c r="G33" i="7"/>
  <c r="G35" i="7"/>
  <c r="G36" i="7"/>
  <c r="G22" i="7"/>
  <c r="G17" i="7"/>
  <c r="H36" i="7"/>
  <c r="H30" i="7"/>
  <c r="G29" i="7"/>
  <c r="G13" i="7"/>
  <c r="G31" i="7"/>
  <c r="G37" i="7"/>
  <c r="H23" i="7"/>
  <c r="H10" i="7"/>
  <c r="G24" i="7"/>
  <c r="H11" i="7"/>
  <c r="G12" i="7"/>
  <c r="G23" i="7"/>
  <c r="G10" i="7"/>
  <c r="H24" i="7"/>
  <c r="H33" i="7"/>
  <c r="H31" i="7"/>
  <c r="H29" i="7"/>
  <c r="H38" i="7" l="1"/>
  <c r="F38" i="7"/>
  <c r="G38" i="7"/>
  <c r="M6" i="7" s="1" a="1"/>
  <c r="E38" i="7"/>
  <c r="K6" i="7" s="1" a="1"/>
  <c r="D38" i="7"/>
  <c r="C38" i="7"/>
  <c r="I6" i="7" s="1" a="1"/>
  <c r="I6" i="7" l="1"/>
  <c r="I33" i="7"/>
  <c r="J28" i="7"/>
  <c r="J33" i="7"/>
  <c r="J23" i="7"/>
  <c r="J13" i="7"/>
  <c r="I19" i="7"/>
  <c r="I28" i="7"/>
  <c r="J14" i="7"/>
  <c r="I29" i="7"/>
  <c r="J24" i="7"/>
  <c r="J21" i="7"/>
  <c r="J19" i="7"/>
  <c r="I36" i="7"/>
  <c r="I15" i="7"/>
  <c r="I16" i="7"/>
  <c r="J10" i="7"/>
  <c r="J7" i="7"/>
  <c r="J30" i="7"/>
  <c r="I13" i="7"/>
  <c r="I38" i="7"/>
  <c r="I22" i="7"/>
  <c r="J17" i="7"/>
  <c r="I14" i="7"/>
  <c r="J25" i="7"/>
  <c r="J36" i="7"/>
  <c r="J29" i="7"/>
  <c r="I37" i="7"/>
  <c r="J27" i="7"/>
  <c r="J18" i="7"/>
  <c r="I9" i="7"/>
  <c r="I25" i="7"/>
  <c r="J20" i="7"/>
  <c r="I32" i="7"/>
  <c r="J15" i="7"/>
  <c r="I20" i="7"/>
  <c r="I11" i="7"/>
  <c r="J38" i="7"/>
  <c r="J6" i="7"/>
  <c r="I18" i="7"/>
  <c r="J12" i="7"/>
  <c r="I35" i="7"/>
  <c r="J8" i="7"/>
  <c r="I31" i="7"/>
  <c r="J31" i="7"/>
  <c r="J22" i="7"/>
  <c r="I10" i="7"/>
  <c r="I26" i="7"/>
  <c r="I21" i="7"/>
  <c r="J16" i="7"/>
  <c r="I24" i="7"/>
  <c r="J11" i="7"/>
  <c r="I12" i="7"/>
  <c r="I7" i="7"/>
  <c r="J34" i="7"/>
  <c r="I17" i="7"/>
  <c r="I8" i="7"/>
  <c r="I34" i="7"/>
  <c r="J37" i="7"/>
  <c r="J35" i="7"/>
  <c r="J26" i="7"/>
  <c r="I30" i="7"/>
  <c r="I27" i="7"/>
  <c r="J32" i="7"/>
  <c r="J9" i="7"/>
  <c r="I23" i="7"/>
  <c r="L37" i="7"/>
  <c r="K7" i="7"/>
  <c r="K10" i="7"/>
  <c r="L15" i="7"/>
  <c r="K12" i="7"/>
  <c r="L24" i="7"/>
  <c r="K20" i="7"/>
  <c r="K29" i="7"/>
  <c r="L29" i="7"/>
  <c r="K6" i="7"/>
  <c r="K27" i="7"/>
  <c r="K22" i="7"/>
  <c r="K31" i="7"/>
  <c r="K34" i="7"/>
  <c r="L11" i="7"/>
  <c r="L25" i="7"/>
  <c r="K14" i="7"/>
  <c r="K11" i="7"/>
  <c r="K26" i="7"/>
  <c r="L19" i="7"/>
  <c r="K16" i="7"/>
  <c r="L28" i="7"/>
  <c r="K28" i="7"/>
  <c r="K33" i="7"/>
  <c r="L33" i="7"/>
  <c r="L34" i="7"/>
  <c r="L16" i="7"/>
  <c r="L20" i="7"/>
  <c r="K30" i="7"/>
  <c r="K15" i="7"/>
  <c r="L10" i="7"/>
  <c r="L23" i="7"/>
  <c r="K24" i="7"/>
  <c r="L32" i="7"/>
  <c r="K36" i="7"/>
  <c r="K37" i="7"/>
  <c r="K23" i="7"/>
  <c r="L31" i="7"/>
  <c r="K13" i="7"/>
  <c r="L22" i="7"/>
  <c r="L12" i="7"/>
  <c r="L17" i="7"/>
  <c r="L7" i="7"/>
  <c r="K21" i="7"/>
  <c r="L38" i="7"/>
  <c r="K25" i="7"/>
  <c r="L6" i="7"/>
  <c r="K19" i="7"/>
  <c r="L18" i="7"/>
  <c r="L27" i="7"/>
  <c r="K32" i="7"/>
  <c r="L36" i="7"/>
  <c r="K9" i="7"/>
  <c r="L9" i="7"/>
  <c r="L14" i="7"/>
  <c r="L26" i="7"/>
  <c r="L8" i="7"/>
  <c r="L13" i="7"/>
  <c r="L35" i="7"/>
  <c r="K17" i="7"/>
  <c r="K18" i="7"/>
  <c r="L21" i="7"/>
  <c r="K35" i="7"/>
  <c r="K8" i="7"/>
  <c r="L30" i="7"/>
  <c r="K38" i="7"/>
  <c r="N38" i="7"/>
  <c r="M15" i="7"/>
  <c r="M20" i="7"/>
  <c r="N8" i="7"/>
  <c r="M11" i="7"/>
  <c r="M21" i="7"/>
  <c r="N21" i="7"/>
  <c r="M14" i="7"/>
  <c r="M35" i="7"/>
  <c r="N34" i="7"/>
  <c r="M8" i="7"/>
  <c r="N9" i="7"/>
  <c r="N22" i="7"/>
  <c r="M12" i="7"/>
  <c r="M6" i="7"/>
  <c r="M16" i="7"/>
  <c r="M10" i="7"/>
  <c r="M27" i="7"/>
  <c r="M24" i="7"/>
  <c r="N12" i="7"/>
  <c r="M31" i="7"/>
  <c r="M25" i="7"/>
  <c r="N25" i="7"/>
  <c r="M18" i="7"/>
  <c r="N6" i="7"/>
  <c r="M13" i="7"/>
  <c r="N36" i="7"/>
  <c r="N17" i="7"/>
  <c r="N30" i="7"/>
  <c r="N7" i="7"/>
  <c r="M28" i="7"/>
  <c r="N16" i="7"/>
  <c r="N11" i="7"/>
  <c r="M29" i="7"/>
  <c r="N29" i="7"/>
  <c r="M22" i="7"/>
  <c r="N10" i="7"/>
  <c r="M36" i="7"/>
  <c r="N35" i="7"/>
  <c r="N37" i="7"/>
  <c r="N18" i="7"/>
  <c r="N28" i="7"/>
  <c r="M23" i="7"/>
  <c r="N32" i="7"/>
  <c r="M38" i="7"/>
  <c r="M17" i="7"/>
  <c r="N19" i="7"/>
  <c r="M32" i="7"/>
  <c r="N20" i="7"/>
  <c r="N23" i="7"/>
  <c r="M33" i="7"/>
  <c r="N33" i="7"/>
  <c r="M26" i="7"/>
  <c r="N14" i="7"/>
  <c r="N27" i="7"/>
  <c r="N24" i="7"/>
  <c r="M37" i="7"/>
  <c r="M30" i="7"/>
  <c r="M19" i="7"/>
  <c r="M9" i="7"/>
  <c r="M34" i="7"/>
  <c r="N15" i="7"/>
  <c r="N13" i="7"/>
  <c r="N26" i="7"/>
  <c r="N31" i="7"/>
  <c r="M7" i="7"/>
</calcChain>
</file>

<file path=xl/sharedStrings.xml><?xml version="1.0" encoding="utf-8"?>
<sst xmlns="http://schemas.openxmlformats.org/spreadsheetml/2006/main" count="509" uniqueCount="173">
  <si>
    <t>activité</t>
  </si>
  <si>
    <t>unité</t>
  </si>
  <si>
    <t>km</t>
  </si>
  <si>
    <t>transport, voiture diesel</t>
  </si>
  <si>
    <t>gazole</t>
  </si>
  <si>
    <t>u</t>
  </si>
  <si>
    <t>l</t>
  </si>
  <si>
    <t>Durée de vie</t>
  </si>
  <si>
    <t>quantité</t>
  </si>
  <si>
    <t>nom</t>
  </si>
  <si>
    <t>l/100 km</t>
  </si>
  <si>
    <t>acier</t>
  </si>
  <si>
    <t>aluminium</t>
  </si>
  <si>
    <t>plastiques</t>
  </si>
  <si>
    <t>maintenance</t>
  </si>
  <si>
    <t>h</t>
  </si>
  <si>
    <t>substance</t>
  </si>
  <si>
    <t>CO2</t>
  </si>
  <si>
    <t>kg</t>
  </si>
  <si>
    <t>Source</t>
  </si>
  <si>
    <t>Formule moyenne du gazole routier</t>
  </si>
  <si>
    <t>Masse molaire du carbone</t>
  </si>
  <si>
    <t>g/mol</t>
  </si>
  <si>
    <t>Masse molaire de l'hydrogène</t>
  </si>
  <si>
    <t>kg/l</t>
  </si>
  <si>
    <t>Émissions dues à la combustion d'un litre de gazole</t>
  </si>
  <si>
    <t>Masse molaire de l'oxygène</t>
  </si>
  <si>
    <t>Aluminium</t>
  </si>
  <si>
    <t>Textiles</t>
  </si>
  <si>
    <t>Voiture thermique</t>
  </si>
  <si>
    <t>Voiture électrique (hors batterie)</t>
  </si>
  <si>
    <t>Acier</t>
  </si>
  <si>
    <t>Fonte</t>
  </si>
  <si>
    <t>Verre</t>
  </si>
  <si>
    <t>Peinture</t>
  </si>
  <si>
    <t>Plastiques</t>
  </si>
  <si>
    <t>Gomme</t>
  </si>
  <si>
    <t>Lubrifiant</t>
  </si>
  <si>
    <t>Cuivre</t>
  </si>
  <si>
    <t>Métaux non ferreux</t>
  </si>
  <si>
    <t>Électronique</t>
  </si>
  <si>
    <t>Fibre de carbone</t>
  </si>
  <si>
    <t>Élément</t>
  </si>
  <si>
    <t>https://www.greenncap.com/wp-content/uploads/Green-NCAP-Life-Cycle-Assessment-Methodology-and-Data.pdf</t>
  </si>
  <si>
    <t>électricité nucléaire</t>
  </si>
  <si>
    <t>électricité éolienne</t>
  </si>
  <si>
    <t>électricité photovoltaïque</t>
  </si>
  <si>
    <t>électricité au charbon</t>
  </si>
  <si>
    <t>électricité au gaz</t>
  </si>
  <si>
    <t>électricité hydroélectrique</t>
  </si>
  <si>
    <t>électricité du réseau, France</t>
  </si>
  <si>
    <t>électricité du réseau, Allemagne</t>
  </si>
  <si>
    <t>Maintenance annuelle</t>
  </si>
  <si>
    <t>Kilométrage annuel</t>
  </si>
  <si>
    <t>km/an</t>
  </si>
  <si>
    <t>ans</t>
  </si>
  <si>
    <t>Masse d'une voiture thermique</t>
  </si>
  <si>
    <t>Paramètres véhicules</t>
  </si>
  <si>
    <t>Paramètres combustion</t>
  </si>
  <si>
    <t>Masse d'une voiture électrique (hors batterie)</t>
  </si>
  <si>
    <r>
      <t>C</t>
    </r>
    <r>
      <rPr>
        <vertAlign val="subscript"/>
        <sz val="8"/>
        <color theme="1"/>
        <rFont val="Arial Nova"/>
        <family val="2"/>
      </rPr>
      <t>12</t>
    </r>
    <r>
      <rPr>
        <sz val="8"/>
        <color theme="1"/>
        <rFont val="Arial Nova"/>
        <family val="2"/>
      </rPr>
      <t>H</t>
    </r>
    <r>
      <rPr>
        <vertAlign val="subscript"/>
        <sz val="8"/>
        <color theme="1"/>
        <rFont val="Arial Nova"/>
        <family val="2"/>
      </rPr>
      <t>24</t>
    </r>
  </si>
  <si>
    <r>
      <t>Réaction de combustion complète (</t>
    </r>
    <r>
      <rPr>
        <b/>
        <sz val="8"/>
        <color rgb="FFFF0000"/>
        <rFont val="Arial Nova"/>
        <family val="2"/>
      </rPr>
      <t>à équilibrer !</t>
    </r>
    <r>
      <rPr>
        <sz val="8"/>
        <color theme="1"/>
        <rFont val="Arial Nova"/>
        <family val="2"/>
      </rPr>
      <t>)</t>
    </r>
  </si>
  <si>
    <r>
      <t>C</t>
    </r>
    <r>
      <rPr>
        <vertAlign val="subscript"/>
        <sz val="8"/>
        <color theme="1"/>
        <rFont val="Arial Nova"/>
        <family val="2"/>
      </rPr>
      <t>12</t>
    </r>
    <r>
      <rPr>
        <sz val="8"/>
        <color theme="1"/>
        <rFont val="Arial Nova"/>
        <family val="2"/>
      </rPr>
      <t>H</t>
    </r>
    <r>
      <rPr>
        <vertAlign val="subscript"/>
        <sz val="8"/>
        <color theme="1"/>
        <rFont val="Arial Nova"/>
        <family val="2"/>
      </rPr>
      <t>24</t>
    </r>
    <r>
      <rPr>
        <sz val="8"/>
        <color theme="1"/>
        <rFont val="Arial Nova"/>
        <family val="2"/>
      </rPr>
      <t xml:space="preserve"> + 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 xml:space="preserve"> = CO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 xml:space="preserve"> + H</t>
    </r>
    <r>
      <rPr>
        <vertAlign val="subscript"/>
        <sz val="8"/>
        <color theme="1"/>
        <rFont val="Arial Nova"/>
        <family val="2"/>
      </rPr>
      <t>2</t>
    </r>
    <r>
      <rPr>
        <sz val="8"/>
        <color theme="1"/>
        <rFont val="Arial Nova"/>
        <family val="2"/>
      </rPr>
      <t>O</t>
    </r>
  </si>
  <si>
    <r>
      <t>kg CO</t>
    </r>
    <r>
      <rPr>
        <vertAlign val="subscript"/>
        <sz val="8"/>
        <color theme="1"/>
        <rFont val="Arial Nova"/>
        <family val="2"/>
      </rPr>
      <t>2</t>
    </r>
  </si>
  <si>
    <t>voiture diesel</t>
  </si>
  <si>
    <t>fonte</t>
  </si>
  <si>
    <t>verre</t>
  </si>
  <si>
    <t>peinture</t>
  </si>
  <si>
    <t>gomme</t>
  </si>
  <si>
    <t>lubrifiant</t>
  </si>
  <si>
    <t>cuivre</t>
  </si>
  <si>
    <t>métaux non ferreux</t>
  </si>
  <si>
    <t>électronique</t>
  </si>
  <si>
    <t>textiles</t>
  </si>
  <si>
    <t>fibre de carbone</t>
  </si>
  <si>
    <t>électricité, autre</t>
  </si>
  <si>
    <t>France, scénario tendanciel, 2020</t>
  </si>
  <si>
    <t>France, scénario tendanciel, 2030</t>
  </si>
  <si>
    <t>France, scénario tendanciel, 2040</t>
  </si>
  <si>
    <t>France, scénario tendanciel, 2050</t>
  </si>
  <si>
    <t>Allemagne, scénario tendanciel, 2020</t>
  </si>
  <si>
    <t>Allemagne, scénario tendanciel, 2030</t>
  </si>
  <si>
    <t>Allemagne, scénario tendanciel, 2040</t>
  </si>
  <si>
    <t>Allemagne, scénario tendanciel, 2050</t>
  </si>
  <si>
    <t>France, scénario optimiste, 2020</t>
  </si>
  <si>
    <t>France, scénario optimiste, 2030</t>
  </si>
  <si>
    <t>France, scénario optimiste, 2040</t>
  </si>
  <si>
    <t>France, scénario optimiste, 2050</t>
  </si>
  <si>
    <t>Allemagne, scénario optimiste, 2020</t>
  </si>
  <si>
    <t>Allemagne, scénario optimiste, 2030</t>
  </si>
  <si>
    <t>Allemagne, scénario optimiste, 2040</t>
  </si>
  <si>
    <t>Allemagne, scénario optimiste, 2050</t>
  </si>
  <si>
    <t>https://climate.ec.europa.eu/system/files/2020-09/2020_study_main_report_en.pdf</t>
  </si>
  <si>
    <t>transport, voiture électrique</t>
  </si>
  <si>
    <t>voiture électrique</t>
  </si>
  <si>
    <t>kWh</t>
  </si>
  <si>
    <t>Consommation diesel</t>
  </si>
  <si>
    <t>Consommation électrique</t>
  </si>
  <si>
    <t>kWh/100 km</t>
  </si>
  <si>
    <t>%</t>
  </si>
  <si>
    <t>Capacité de la batterie</t>
  </si>
  <si>
    <t>CH4</t>
  </si>
  <si>
    <t>chaleur</t>
  </si>
  <si>
    <t>gaz naturel</t>
  </si>
  <si>
    <t>Production</t>
  </si>
  <si>
    <t>Chine</t>
  </si>
  <si>
    <t>EU</t>
  </si>
  <si>
    <t>US</t>
  </si>
  <si>
    <t>Recyclage</t>
  </si>
  <si>
    <t>Énergie primaire</t>
  </si>
  <si>
    <t>Batterie lithium-ion</t>
  </si>
  <si>
    <t>MJ</t>
  </si>
  <si>
    <t>batterie lithium-ion, production</t>
  </si>
  <si>
    <t>batterie lithium-ion, recyclage</t>
  </si>
  <si>
    <t>I</t>
  </si>
  <si>
    <t>GES</t>
  </si>
  <si>
    <t>D</t>
  </si>
  <si>
    <t>kg CO2 eq.</t>
  </si>
  <si>
    <t>total</t>
  </si>
  <si>
    <t>Lithium</t>
  </si>
  <si>
    <t>Matériaux</t>
  </si>
  <si>
    <t>kg Sb eq.</t>
  </si>
  <si>
    <t>Résultats absolus</t>
  </si>
  <si>
    <t>Changement climatique</t>
  </si>
  <si>
    <t>Résultats relatifs</t>
  </si>
  <si>
    <t>indicateur</t>
  </si>
  <si>
    <t>Densité énergétique du gazole</t>
  </si>
  <si>
    <t>MJ/l</t>
  </si>
  <si>
    <t>Densité massique du gazole</t>
  </si>
  <si>
    <t>Changement climatique (g CO2 eq.)</t>
  </si>
  <si>
    <t>Énergie primaire (100 J)</t>
  </si>
  <si>
    <r>
      <t>Matériaux (</t>
    </r>
    <r>
      <rPr>
        <sz val="8"/>
        <color theme="1"/>
        <rFont val="Calibri"/>
        <family val="2"/>
      </rPr>
      <t>μ</t>
    </r>
    <r>
      <rPr>
        <sz val="8"/>
        <color theme="1"/>
        <rFont val="Arial Nova"/>
        <family val="2"/>
      </rPr>
      <t>g Sb eq.)</t>
    </r>
  </si>
  <si>
    <t>Allemagne 2020</t>
  </si>
  <si>
    <t>France 2020</t>
  </si>
  <si>
    <t>Allemagne 2040, tendanciel</t>
  </si>
  <si>
    <t>France 2040, tendanciel</t>
  </si>
  <si>
    <t>Allemagne 2040, optimiste</t>
  </si>
  <si>
    <t>France 2040, optimiste</t>
  </si>
  <si>
    <t>Inventaire</t>
  </si>
  <si>
    <t>Contient les données d'ACV pour mener le calcul d'évaluation d'impact</t>
  </si>
  <si>
    <t>Composition voiture</t>
  </si>
  <si>
    <t>Information sur la composition d'un véhicule</t>
  </si>
  <si>
    <t>Production batterie</t>
  </si>
  <si>
    <t>Information sur la production et la fin de vie d'une batterie de véhicule électrique</t>
  </si>
  <si>
    <t>Mix électriques</t>
  </si>
  <si>
    <t>Composition des mix électriques</t>
  </si>
  <si>
    <t>Carburant</t>
  </si>
  <si>
    <t>Demande en énergie et émissions due à la production du carburant</t>
  </si>
  <si>
    <t>Feuille</t>
  </si>
  <si>
    <t>Contenu</t>
  </si>
  <si>
    <t>Analyse d'impacts</t>
  </si>
  <si>
    <t>Comparaison de l'impact des deux véhicules</t>
  </si>
  <si>
    <t>PARAMÈTRES</t>
  </si>
  <si>
    <t>Pertes de distribution et de chargement (électricité)</t>
  </si>
  <si>
    <t>C (caractérisation)</t>
  </si>
  <si>
    <t>B (biosphère)</t>
  </si>
  <si>
    <t>A (activités)</t>
  </si>
  <si>
    <t>MATRICES ACV (DONNÉES D'ENTRÉE)</t>
  </si>
  <si>
    <t>MATRICES ACV (CALCULS INTERMÉDIAIRES)</t>
  </si>
  <si>
    <t>L (inverse de Leontief)</t>
  </si>
  <si>
    <t>E (inventaire des flux élémentaires)</t>
  </si>
  <si>
    <t>MATRICES ACV (RÉSULTATS)</t>
  </si>
  <si>
    <t>Durée de vie de la voiture</t>
  </si>
  <si>
    <t>Étapes</t>
  </si>
  <si>
    <t>Émissions de CO2 du diesel</t>
  </si>
  <si>
    <t>Composition d'une voiture</t>
  </si>
  <si>
    <t>Composition du mix</t>
  </si>
  <si>
    <t>Calcul des impacts caractérisés</t>
  </si>
  <si>
    <t>Composition</t>
  </si>
  <si>
    <t>Facteurs</t>
  </si>
  <si>
    <t>GES (g CO2 eq./kg)</t>
  </si>
  <si>
    <t>Énergie primaire (kWh/kg)</t>
  </si>
  <si>
    <t>C*B (facteurs, caractérisés)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</si>
</sst>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%"/>
    <numFmt numFmtId="167" formatCode="0.0E+00"/>
    <numFmt numFmtId="168" formatCode="0E+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 Nova"/>
      <family val="2"/>
    </font>
    <font>
      <b/>
      <sz val="8"/>
      <color theme="1"/>
      <name val="Arial Nova"/>
      <family val="2"/>
    </font>
    <font>
      <vertAlign val="subscript"/>
      <sz val="8"/>
      <color theme="1"/>
      <name val="Arial Nova"/>
      <family val="2"/>
    </font>
    <font>
      <b/>
      <sz val="8"/>
      <color rgb="FFFF0000"/>
      <name val="Arial Nov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u/>
      <sz val="8"/>
      <color theme="10"/>
      <name val="Arial Nova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F4D7"/>
        <bgColor rgb="FF000000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dotted">
        <color rgb="FF4D661C"/>
      </left>
      <right style="dotted">
        <color rgb="FF4D661C"/>
      </right>
      <top style="dotted">
        <color rgb="FF4D661C"/>
      </top>
      <bottom style="dotted">
        <color rgb="FF4D661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3" borderId="1" applyFont="0" applyAlignment="0">
      <protection locked="0"/>
    </xf>
  </cellStyleXfs>
  <cellXfs count="115">
    <xf numFmtId="0" fontId="0" fillId="0" borderId="0" xfId="0"/>
    <xf numFmtId="0" fontId="2" fillId="0" borderId="0" xfId="2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textRotation="90"/>
    </xf>
    <xf numFmtId="9" fontId="3" fillId="0" borderId="0" xfId="1" applyFont="1"/>
    <xf numFmtId="0" fontId="3" fillId="0" borderId="0" xfId="0" applyFont="1" applyAlignment="1">
      <alignment wrapText="1"/>
    </xf>
    <xf numFmtId="165" fontId="3" fillId="0" borderId="0" xfId="0" applyNumberFormat="1" applyFont="1"/>
    <xf numFmtId="0" fontId="9" fillId="0" borderId="0" xfId="2" applyFont="1"/>
    <xf numFmtId="166" fontId="3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2" borderId="0" xfId="0" applyFont="1" applyFill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2" borderId="8" xfId="0" applyFont="1" applyFill="1" applyBorder="1"/>
    <xf numFmtId="0" fontId="3" fillId="2" borderId="5" xfId="0" applyFont="1" applyFill="1" applyBorder="1"/>
    <xf numFmtId="164" fontId="3" fillId="0" borderId="2" xfId="0" applyNumberFormat="1" applyFont="1" applyBorder="1"/>
    <xf numFmtId="165" fontId="3" fillId="0" borderId="3" xfId="0" applyNumberFormat="1" applyFont="1" applyBorder="1"/>
    <xf numFmtId="0" fontId="3" fillId="2" borderId="7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3" fillId="0" borderId="3" xfId="0" applyNumberFormat="1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0" applyNumberFormat="1" applyFont="1" applyBorder="1"/>
    <xf numFmtId="9" fontId="3" fillId="0" borderId="11" xfId="1" applyFont="1" applyBorder="1"/>
    <xf numFmtId="0" fontId="3" fillId="0" borderId="12" xfId="0" applyFont="1" applyBorder="1"/>
    <xf numFmtId="0" fontId="3" fillId="2" borderId="6" xfId="0" applyFont="1" applyFill="1" applyBorder="1"/>
    <xf numFmtId="165" fontId="3" fillId="0" borderId="2" xfId="0" applyNumberFormat="1" applyFont="1" applyBorder="1"/>
    <xf numFmtId="165" fontId="3" fillId="0" borderId="4" xfId="0" applyNumberFormat="1" applyFont="1" applyBorder="1"/>
    <xf numFmtId="165" fontId="3" fillId="0" borderId="5" xfId="0" applyNumberFormat="1" applyFont="1" applyBorder="1"/>
    <xf numFmtId="165" fontId="3" fillId="0" borderId="6" xfId="0" applyNumberFormat="1" applyFont="1" applyBorder="1"/>
    <xf numFmtId="165" fontId="3" fillId="0" borderId="7" xfId="0" applyNumberFormat="1" applyFont="1" applyBorder="1"/>
    <xf numFmtId="165" fontId="3" fillId="0" borderId="8" xfId="0" applyNumberFormat="1" applyFont="1" applyBorder="1"/>
    <xf numFmtId="165" fontId="3" fillId="0" borderId="9" xfId="0" applyNumberFormat="1" applyFont="1" applyBorder="1"/>
    <xf numFmtId="165" fontId="3" fillId="2" borderId="5" xfId="0" applyNumberFormat="1" applyFont="1" applyFill="1" applyBorder="1"/>
    <xf numFmtId="165" fontId="3" fillId="2" borderId="8" xfId="0" applyNumberFormat="1" applyFont="1" applyFill="1" applyBorder="1"/>
    <xf numFmtId="11" fontId="3" fillId="0" borderId="0" xfId="0" applyNumberFormat="1" applyFont="1"/>
    <xf numFmtId="168" fontId="3" fillId="0" borderId="3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2" borderId="8" xfId="0" applyNumberFormat="1" applyFont="1" applyFill="1" applyBorder="1"/>
    <xf numFmtId="168" fontId="3" fillId="2" borderId="9" xfId="0" applyNumberFormat="1" applyFont="1" applyFill="1" applyBorder="1"/>
    <xf numFmtId="168" fontId="3" fillId="2" borderId="6" xfId="0" applyNumberFormat="1" applyFont="1" applyFill="1" applyBorder="1"/>
    <xf numFmtId="0" fontId="11" fillId="0" borderId="0" xfId="0" applyFont="1" applyAlignment="1">
      <alignment horizontal="right"/>
    </xf>
    <xf numFmtId="0" fontId="11" fillId="0" borderId="8" xfId="0" applyFont="1" applyBorder="1" applyAlignment="1">
      <alignment horizontal="right"/>
    </xf>
    <xf numFmtId="0" fontId="0" fillId="0" borderId="8" xfId="0" applyBorder="1"/>
    <xf numFmtId="0" fontId="3" fillId="0" borderId="5" xfId="0" applyFont="1" applyBorder="1" applyAlignment="1">
      <alignment textRotation="90"/>
    </xf>
    <xf numFmtId="0" fontId="3" fillId="0" borderId="6" xfId="0" applyFont="1" applyBorder="1" applyAlignment="1">
      <alignment textRotation="90"/>
    </xf>
    <xf numFmtId="1" fontId="3" fillId="0" borderId="5" xfId="0" applyNumberFormat="1" applyFont="1" applyBorder="1"/>
    <xf numFmtId="1" fontId="3" fillId="0" borderId="0" xfId="0" applyNumberFormat="1" applyFont="1"/>
    <xf numFmtId="1" fontId="3" fillId="0" borderId="6" xfId="0" applyNumberFormat="1" applyFont="1" applyBorder="1"/>
    <xf numFmtId="1" fontId="3" fillId="0" borderId="7" xfId="0" applyNumberFormat="1" applyFont="1" applyBorder="1"/>
    <xf numFmtId="1" fontId="3" fillId="0" borderId="8" xfId="0" applyNumberFormat="1" applyFont="1" applyBorder="1"/>
    <xf numFmtId="1" fontId="3" fillId="0" borderId="9" xfId="0" applyNumberFormat="1" applyFont="1" applyBorder="1"/>
    <xf numFmtId="0" fontId="4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4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164" fontId="3" fillId="2" borderId="0" xfId="0" applyNumberFormat="1" applyFont="1" applyFill="1"/>
    <xf numFmtId="1" fontId="3" fillId="2" borderId="0" xfId="0" applyNumberFormat="1" applyFont="1" applyFill="1"/>
    <xf numFmtId="0" fontId="4" fillId="0" borderId="19" xfId="0" applyFont="1" applyBorder="1"/>
    <xf numFmtId="11" fontId="3" fillId="0" borderId="19" xfId="0" applyNumberFormat="1" applyFont="1" applyBorder="1"/>
    <xf numFmtId="11" fontId="3" fillId="0" borderId="14" xfId="0" applyNumberFormat="1" applyFont="1" applyBorder="1"/>
    <xf numFmtId="165" fontId="3" fillId="2" borderId="0" xfId="0" applyNumberFormat="1" applyFont="1" applyFill="1"/>
    <xf numFmtId="165" fontId="3" fillId="0" borderId="19" xfId="0" applyNumberFormat="1" applyFont="1" applyBorder="1"/>
    <xf numFmtId="168" fontId="3" fillId="0" borderId="19" xfId="0" applyNumberFormat="1" applyFont="1" applyBorder="1"/>
    <xf numFmtId="165" fontId="3" fillId="0" borderId="14" xfId="0" applyNumberFormat="1" applyFont="1" applyBorder="1"/>
    <xf numFmtId="165" fontId="3" fillId="2" borderId="21" xfId="0" applyNumberFormat="1" applyFont="1" applyFill="1" applyBorder="1"/>
    <xf numFmtId="2" fontId="3" fillId="2" borderId="21" xfId="0" applyNumberFormat="1" applyFont="1" applyFill="1" applyBorder="1"/>
    <xf numFmtId="0" fontId="3" fillId="2" borderId="13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2" borderId="20" xfId="0" applyFont="1" applyFill="1" applyBorder="1"/>
    <xf numFmtId="164" fontId="3" fillId="2" borderId="13" xfId="0" applyNumberFormat="1" applyFont="1" applyFill="1" applyBorder="1"/>
    <xf numFmtId="164" fontId="3" fillId="2" borderId="15" xfId="0" applyNumberFormat="1" applyFont="1" applyFill="1" applyBorder="1"/>
    <xf numFmtId="164" fontId="3" fillId="2" borderId="16" xfId="0" applyNumberFormat="1" applyFont="1" applyFill="1" applyBorder="1"/>
    <xf numFmtId="164" fontId="3" fillId="2" borderId="17" xfId="0" applyNumberFormat="1" applyFont="1" applyFill="1" applyBorder="1"/>
    <xf numFmtId="164" fontId="3" fillId="2" borderId="18" xfId="0" applyNumberFormat="1" applyFont="1" applyFill="1" applyBorder="1"/>
    <xf numFmtId="164" fontId="3" fillId="2" borderId="20" xfId="0" applyNumberFormat="1" applyFont="1" applyFill="1" applyBorder="1"/>
    <xf numFmtId="164" fontId="3" fillId="0" borderId="13" xfId="0" applyNumberFormat="1" applyFont="1" applyBorder="1"/>
    <xf numFmtId="164" fontId="3" fillId="0" borderId="14" xfId="0" applyNumberFormat="1" applyFont="1" applyBorder="1"/>
    <xf numFmtId="168" fontId="3" fillId="0" borderId="14" xfId="0" applyNumberFormat="1" applyFont="1" applyBorder="1"/>
    <xf numFmtId="165" fontId="3" fillId="0" borderId="15" xfId="0" applyNumberFormat="1" applyFont="1" applyBorder="1"/>
    <xf numFmtId="164" fontId="3" fillId="0" borderId="16" xfId="0" applyNumberFormat="1" applyFont="1" applyBorder="1"/>
    <xf numFmtId="164" fontId="3" fillId="0" borderId="0" xfId="0" applyNumberFormat="1" applyFont="1"/>
    <xf numFmtId="165" fontId="3" fillId="0" borderId="17" xfId="0" applyNumberFormat="1" applyFont="1" applyBorder="1"/>
    <xf numFmtId="167" fontId="3" fillId="0" borderId="18" xfId="0" applyNumberFormat="1" applyFont="1" applyBorder="1"/>
    <xf numFmtId="167" fontId="3" fillId="0" borderId="19" xfId="0" applyNumberFormat="1" applyFont="1" applyBorder="1"/>
    <xf numFmtId="0" fontId="3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textRotation="90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</cellXfs>
  <cellStyles count="4">
    <cellStyle name="Hyperlink" xfId="2" builtinId="8"/>
    <cellStyle name="Input (Validation)" xfId="3" xr:uid="{A27C212B-B161-4E9C-AE65-062FE3C029B2}"/>
    <cellStyle name="Normal" xfId="0" builtinId="0"/>
    <cellStyle name="Percent" xfId="1" builtinId="5"/>
  </cellStyles>
  <dxfs count="3">
    <dxf>
      <font>
        <color theme="2"/>
      </font>
      <fill>
        <patternFill patternType="none">
          <bgColor auto="1"/>
        </patternFill>
      </fill>
    </dxf>
    <dxf>
      <font>
        <color theme="2"/>
      </font>
      <fill>
        <patternFill patternType="none">
          <bgColor auto="1"/>
        </patternFill>
      </fill>
    </dxf>
    <dxf>
      <font>
        <color theme="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n-IE"/>
              <a:t>Comparaison</a:t>
            </a:r>
            <a:r>
              <a:rPr lang="en-IE" baseline="0"/>
              <a:t> entre mix électriques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d''impacts'!$A$6:$B$6</c:f>
              <c:strCache>
                <c:ptCount val="2"/>
                <c:pt idx="0">
                  <c:v>transport, voiture diesel</c:v>
                </c:pt>
                <c:pt idx="1">
                  <c:v>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d''impacts'!$R$6:$X$6</c:f>
              <c:numCache>
                <c:formatCode>0.0</c:formatCode>
                <c:ptCount val="7"/>
                <c:pt idx="0">
                  <c:v>187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4-46C7-AA66-AFEB6F806995}"/>
            </c:ext>
          </c:extLst>
        </c:ser>
        <c:ser>
          <c:idx val="1"/>
          <c:order val="1"/>
          <c:tx>
            <c:strRef>
              <c:f>'Analyse d''impacts'!$A$7:$B$7</c:f>
              <c:strCache>
                <c:ptCount val="2"/>
                <c:pt idx="0">
                  <c:v>transport, voiture électrique</c:v>
                </c:pt>
                <c:pt idx="1">
                  <c:v>km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d''impacts'!$R$7:$X$7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4-46C7-AA66-AFEB6F806995}"/>
            </c:ext>
          </c:extLst>
        </c:ser>
        <c:ser>
          <c:idx val="2"/>
          <c:order val="2"/>
          <c:tx>
            <c:strRef>
              <c:f>'Analyse d''impacts'!$A$8:$B$8</c:f>
              <c:strCache>
                <c:ptCount val="2"/>
                <c:pt idx="0">
                  <c:v>voiture diesel</c:v>
                </c:pt>
                <c:pt idx="1">
                  <c:v>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d''impacts'!$R$8:$X$8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4-46C7-AA66-AFEB6F806995}"/>
            </c:ext>
          </c:extLst>
        </c:ser>
        <c:ser>
          <c:idx val="3"/>
          <c:order val="3"/>
          <c:tx>
            <c:strRef>
              <c:f>'Analyse d''impacts'!$A$9:$B$9</c:f>
              <c:strCache>
                <c:ptCount val="2"/>
                <c:pt idx="0">
                  <c:v>voiture électrique</c:v>
                </c:pt>
                <c:pt idx="1">
                  <c:v>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d''impacts'!$R$9:$X$9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4-46C7-AA66-AFEB6F806995}"/>
            </c:ext>
          </c:extLst>
        </c:ser>
        <c:ser>
          <c:idx val="4"/>
          <c:order val="4"/>
          <c:tx>
            <c:strRef>
              <c:f>'Analyse d''impacts'!$A$10:$B$10</c:f>
              <c:strCache>
                <c:ptCount val="2"/>
                <c:pt idx="0">
                  <c:v>batterie lithium-ion, production</c:v>
                </c:pt>
                <c:pt idx="1">
                  <c:v>kWh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d''impacts'!$R$10:$X$10</c:f>
              <c:numCache>
                <c:formatCode>0.0</c:formatCode>
                <c:ptCount val="7"/>
                <c:pt idx="0">
                  <c:v>0</c:v>
                </c:pt>
                <c:pt idx="1">
                  <c:v>17.289600000000004</c:v>
                </c:pt>
                <c:pt idx="2">
                  <c:v>17.289600000000004</c:v>
                </c:pt>
                <c:pt idx="3">
                  <c:v>17.289600000000004</c:v>
                </c:pt>
                <c:pt idx="4">
                  <c:v>17.289600000000004</c:v>
                </c:pt>
                <c:pt idx="5">
                  <c:v>17.289600000000004</c:v>
                </c:pt>
                <c:pt idx="6">
                  <c:v>17.289600000000004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94-46C7-AA66-AFEB6F806995}"/>
            </c:ext>
          </c:extLst>
        </c:ser>
        <c:ser>
          <c:idx val="5"/>
          <c:order val="5"/>
          <c:tx>
            <c:strRef>
              <c:f>'Analyse d''impacts'!$A$11:$B$11</c:f>
              <c:strCache>
                <c:ptCount val="2"/>
                <c:pt idx="0">
                  <c:v>batterie lithium-ion, recyclage</c:v>
                </c:pt>
                <c:pt idx="1">
                  <c:v>kWh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d''impacts'!$R$11:$X$11</c:f>
              <c:numCache>
                <c:formatCode>0.0</c:formatCode>
                <c:ptCount val="7"/>
                <c:pt idx="0">
                  <c:v>0</c:v>
                </c:pt>
                <c:pt idx="1">
                  <c:v>-1.7472000000000001</c:v>
                </c:pt>
                <c:pt idx="2">
                  <c:v>-1.7472000000000001</c:v>
                </c:pt>
                <c:pt idx="3">
                  <c:v>-1.7472000000000001</c:v>
                </c:pt>
                <c:pt idx="4">
                  <c:v>-1.7472000000000001</c:v>
                </c:pt>
                <c:pt idx="5">
                  <c:v>-1.7472000000000001</c:v>
                </c:pt>
                <c:pt idx="6">
                  <c:v>-1.7472000000000001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94-46C7-AA66-AFEB6F806995}"/>
            </c:ext>
          </c:extLst>
        </c:ser>
        <c:ser>
          <c:idx val="6"/>
          <c:order val="6"/>
          <c:tx>
            <c:strRef>
              <c:f>'Analyse d''impacts'!$A$12:$B$12</c:f>
              <c:strCache>
                <c:ptCount val="2"/>
                <c:pt idx="0">
                  <c:v>gazole</c:v>
                </c:pt>
                <c:pt idx="1">
                  <c:v>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d''impacts'!$R$12:$X$12</c:f>
              <c:numCache>
                <c:formatCode>0.0</c:formatCode>
                <c:ptCount val="7"/>
                <c:pt idx="0">
                  <c:v>41.300000000000004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94-46C7-AA66-AFEB6F806995}"/>
            </c:ext>
          </c:extLst>
        </c:ser>
        <c:ser>
          <c:idx val="7"/>
          <c:order val="7"/>
          <c:tx>
            <c:strRef>
              <c:f>'Analyse d''impacts'!$A$13:$B$13</c:f>
              <c:strCache>
                <c:ptCount val="2"/>
                <c:pt idx="0">
                  <c:v>maintenance</c:v>
                </c:pt>
                <c:pt idx="1">
                  <c:v>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d''impacts'!$R$13:$X$13</c:f>
              <c:numCache>
                <c:formatCode>0.0</c:formatCode>
                <c:ptCount val="7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94-46C7-AA66-AFEB6F806995}"/>
            </c:ext>
          </c:extLst>
        </c:ser>
        <c:ser>
          <c:idx val="8"/>
          <c:order val="8"/>
          <c:tx>
            <c:strRef>
              <c:f>'Analyse d''impacts'!$A$14:$B$14</c:f>
              <c:strCache>
                <c:ptCount val="2"/>
                <c:pt idx="0">
                  <c:v>acier</c:v>
                </c:pt>
                <c:pt idx="1">
                  <c:v>kg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d''impacts'!$R$14:$X$14</c:f>
              <c:numCache>
                <c:formatCode>0.0</c:formatCode>
                <c:ptCount val="7"/>
                <c:pt idx="0">
                  <c:v>8.2972239999999786</c:v>
                </c:pt>
                <c:pt idx="1">
                  <c:v>7.1096479999999724</c:v>
                </c:pt>
                <c:pt idx="2">
                  <c:v>7.1096479999999724</c:v>
                </c:pt>
                <c:pt idx="3">
                  <c:v>7.1096479999999724</c:v>
                </c:pt>
                <c:pt idx="4">
                  <c:v>7.1096479999999724</c:v>
                </c:pt>
                <c:pt idx="5">
                  <c:v>7.1096479999999724</c:v>
                </c:pt>
                <c:pt idx="6">
                  <c:v>7.1096479999999724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94-46C7-AA66-AFEB6F806995}"/>
            </c:ext>
          </c:extLst>
        </c:ser>
        <c:ser>
          <c:idx val="9"/>
          <c:order val="9"/>
          <c:tx>
            <c:strRef>
              <c:f>'Analyse d''impacts'!$A$15:$B$15</c:f>
              <c:strCache>
                <c:ptCount val="2"/>
                <c:pt idx="0">
                  <c:v>fonte</c:v>
                </c:pt>
                <c:pt idx="1">
                  <c:v>kg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d''impacts'!$R$15:$X$15</c:f>
              <c:numCache>
                <c:formatCode>0.0</c:formatCode>
                <c:ptCount val="7"/>
                <c:pt idx="0">
                  <c:v>0.57527999999999913</c:v>
                </c:pt>
                <c:pt idx="1">
                  <c:v>0.31103999999999737</c:v>
                </c:pt>
                <c:pt idx="2">
                  <c:v>0.31103999999999737</c:v>
                </c:pt>
                <c:pt idx="3">
                  <c:v>0.31103999999999737</c:v>
                </c:pt>
                <c:pt idx="4">
                  <c:v>0.31103999999999737</c:v>
                </c:pt>
                <c:pt idx="5">
                  <c:v>0.31103999999999737</c:v>
                </c:pt>
                <c:pt idx="6">
                  <c:v>0.31103999999999737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94-46C7-AA66-AFEB6F806995}"/>
            </c:ext>
          </c:extLst>
        </c:ser>
        <c:ser>
          <c:idx val="10"/>
          <c:order val="10"/>
          <c:tx>
            <c:strRef>
              <c:f>'Analyse d''impacts'!$A$16:$B$16</c:f>
              <c:strCache>
                <c:ptCount val="2"/>
                <c:pt idx="0">
                  <c:v>aluminium</c:v>
                </c:pt>
                <c:pt idx="1">
                  <c:v>kg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d''impacts'!$R$16:$X$16</c:f>
              <c:numCache>
                <c:formatCode>0.0</c:formatCode>
                <c:ptCount val="7"/>
                <c:pt idx="0">
                  <c:v>9.7508599999999586</c:v>
                </c:pt>
                <c:pt idx="1">
                  <c:v>12.70551999999998</c:v>
                </c:pt>
                <c:pt idx="2">
                  <c:v>12.70551999999998</c:v>
                </c:pt>
                <c:pt idx="3">
                  <c:v>12.70551999999998</c:v>
                </c:pt>
                <c:pt idx="4">
                  <c:v>12.70551999999998</c:v>
                </c:pt>
                <c:pt idx="5">
                  <c:v>12.70551999999998</c:v>
                </c:pt>
                <c:pt idx="6">
                  <c:v>12.70551999999998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94-46C7-AA66-AFEB6F806995}"/>
            </c:ext>
          </c:extLst>
        </c:ser>
        <c:ser>
          <c:idx val="11"/>
          <c:order val="11"/>
          <c:tx>
            <c:strRef>
              <c:f>'Analyse d''impacts'!$A$17:$B$17</c:f>
              <c:strCache>
                <c:ptCount val="2"/>
                <c:pt idx="0">
                  <c:v>verre</c:v>
                </c:pt>
                <c:pt idx="1">
                  <c:v>kg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d''impacts'!$R$17:$X$17</c:f>
              <c:numCache>
                <c:formatCode>0.0</c:formatCode>
                <c:ptCount val="7"/>
                <c:pt idx="0">
                  <c:v>0.16904799999999945</c:v>
                </c:pt>
                <c:pt idx="1">
                  <c:v>0.1735679999999995</c:v>
                </c:pt>
                <c:pt idx="2">
                  <c:v>0.1735679999999995</c:v>
                </c:pt>
                <c:pt idx="3">
                  <c:v>0.1735679999999995</c:v>
                </c:pt>
                <c:pt idx="4">
                  <c:v>0.1735679999999995</c:v>
                </c:pt>
                <c:pt idx="5">
                  <c:v>0.1735679999999995</c:v>
                </c:pt>
                <c:pt idx="6">
                  <c:v>0.1735679999999995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94-46C7-AA66-AFEB6F806995}"/>
            </c:ext>
          </c:extLst>
        </c:ser>
        <c:ser>
          <c:idx val="12"/>
          <c:order val="12"/>
          <c:tx>
            <c:strRef>
              <c:f>'Analyse d''impacts'!$A$18:$B$18</c:f>
              <c:strCache>
                <c:ptCount val="2"/>
                <c:pt idx="0">
                  <c:v>peinture</c:v>
                </c:pt>
                <c:pt idx="1">
                  <c:v>kg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d''impacts'!$R$18:$X$18</c:f>
              <c:numCache>
                <c:formatCode>0.0</c:formatCode>
                <c:ptCount val="7"/>
                <c:pt idx="0">
                  <c:v>0.15449599999999955</c:v>
                </c:pt>
                <c:pt idx="1">
                  <c:v>0.14540799999999957</c:v>
                </c:pt>
                <c:pt idx="2">
                  <c:v>0.14540799999999957</c:v>
                </c:pt>
                <c:pt idx="3">
                  <c:v>0.14540799999999957</c:v>
                </c:pt>
                <c:pt idx="4">
                  <c:v>0.14540799999999957</c:v>
                </c:pt>
                <c:pt idx="5">
                  <c:v>0.14540799999999957</c:v>
                </c:pt>
                <c:pt idx="6">
                  <c:v>0.14540799999999957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94-46C7-AA66-AFEB6F806995}"/>
            </c:ext>
          </c:extLst>
        </c:ser>
        <c:ser>
          <c:idx val="13"/>
          <c:order val="13"/>
          <c:tx>
            <c:strRef>
              <c:f>'Analyse d''impacts'!$A$19:$B$19</c:f>
              <c:strCache>
                <c:ptCount val="2"/>
                <c:pt idx="0">
                  <c:v>plastiques</c:v>
                </c:pt>
                <c:pt idx="1">
                  <c:v>kg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d''impacts'!$R$19:$X$19</c:f>
              <c:numCache>
                <c:formatCode>0.0</c:formatCode>
                <c:ptCount val="7"/>
                <c:pt idx="0">
                  <c:v>2.7002799999999918</c:v>
                </c:pt>
                <c:pt idx="1">
                  <c:v>2.7667039999999927</c:v>
                </c:pt>
                <c:pt idx="2">
                  <c:v>2.7667039999999927</c:v>
                </c:pt>
                <c:pt idx="3">
                  <c:v>2.7667039999999927</c:v>
                </c:pt>
                <c:pt idx="4">
                  <c:v>2.7667039999999927</c:v>
                </c:pt>
                <c:pt idx="5">
                  <c:v>2.7667039999999927</c:v>
                </c:pt>
                <c:pt idx="6">
                  <c:v>2.7667039999999927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94-46C7-AA66-AFEB6F806995}"/>
            </c:ext>
          </c:extLst>
        </c:ser>
        <c:ser>
          <c:idx val="14"/>
          <c:order val="14"/>
          <c:tx>
            <c:strRef>
              <c:f>'Analyse d''impacts'!$A$20:$B$20</c:f>
              <c:strCache>
                <c:ptCount val="2"/>
                <c:pt idx="0">
                  <c:v>gomme</c:v>
                </c:pt>
                <c:pt idx="1">
                  <c:v>kg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d''impacts'!$R$20:$X$20</c:f>
              <c:numCache>
                <c:formatCode>0.0</c:formatCode>
                <c:ptCount val="7"/>
                <c:pt idx="0">
                  <c:v>0.83027999999999735</c:v>
                </c:pt>
                <c:pt idx="1">
                  <c:v>0.84479999999999755</c:v>
                </c:pt>
                <c:pt idx="2">
                  <c:v>0.84479999999999755</c:v>
                </c:pt>
                <c:pt idx="3">
                  <c:v>0.84479999999999755</c:v>
                </c:pt>
                <c:pt idx="4">
                  <c:v>0.84479999999999755</c:v>
                </c:pt>
                <c:pt idx="5">
                  <c:v>0.84479999999999755</c:v>
                </c:pt>
                <c:pt idx="6">
                  <c:v>0.84479999999999755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94-46C7-AA66-AFEB6F806995}"/>
            </c:ext>
          </c:extLst>
        </c:ser>
        <c:ser>
          <c:idx val="15"/>
          <c:order val="15"/>
          <c:tx>
            <c:strRef>
              <c:f>'Analyse d''impacts'!$A$21:$B$21</c:f>
              <c:strCache>
                <c:ptCount val="2"/>
                <c:pt idx="0">
                  <c:v>lubrifiant</c:v>
                </c:pt>
                <c:pt idx="1">
                  <c:v>kg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d''impacts'!$R$21:$X$21</c:f>
              <c:numCache>
                <c:formatCode>0.0</c:formatCode>
                <c:ptCount val="7"/>
                <c:pt idx="0">
                  <c:v>0.25703999999999971</c:v>
                </c:pt>
                <c:pt idx="1">
                  <c:v>0.10751999999999898</c:v>
                </c:pt>
                <c:pt idx="2">
                  <c:v>0.10751999999999898</c:v>
                </c:pt>
                <c:pt idx="3">
                  <c:v>0.10751999999999898</c:v>
                </c:pt>
                <c:pt idx="4">
                  <c:v>0.10751999999999898</c:v>
                </c:pt>
                <c:pt idx="5">
                  <c:v>0.10751999999999898</c:v>
                </c:pt>
                <c:pt idx="6">
                  <c:v>0.10751999999999898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94-46C7-AA66-AFEB6F806995}"/>
            </c:ext>
          </c:extLst>
        </c:ser>
        <c:ser>
          <c:idx val="16"/>
          <c:order val="16"/>
          <c:tx>
            <c:strRef>
              <c:f>'Analyse d''impacts'!$A$22:$B$22</c:f>
              <c:strCache>
                <c:ptCount val="2"/>
                <c:pt idx="0">
                  <c:v>cuivre</c:v>
                </c:pt>
                <c:pt idx="1">
                  <c:v>kg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d''impacts'!$R$22:$X$22</c:f>
              <c:numCache>
                <c:formatCode>0.0</c:formatCode>
                <c:ptCount val="7"/>
                <c:pt idx="0">
                  <c:v>0.56460399999999733</c:v>
                </c:pt>
                <c:pt idx="1">
                  <c:v>1.288047999999999</c:v>
                </c:pt>
                <c:pt idx="2">
                  <c:v>1.288047999999999</c:v>
                </c:pt>
                <c:pt idx="3">
                  <c:v>1.288047999999999</c:v>
                </c:pt>
                <c:pt idx="4">
                  <c:v>1.288047999999999</c:v>
                </c:pt>
                <c:pt idx="5">
                  <c:v>1.288047999999999</c:v>
                </c:pt>
                <c:pt idx="6">
                  <c:v>1.288047999999999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94-46C7-AA66-AFEB6F806995}"/>
            </c:ext>
          </c:extLst>
        </c:ser>
        <c:ser>
          <c:idx val="17"/>
          <c:order val="17"/>
          <c:tx>
            <c:strRef>
              <c:f>'Analyse d''impacts'!$A$23:$B$23</c:f>
              <c:strCache>
                <c:ptCount val="2"/>
                <c:pt idx="0">
                  <c:v>métaux non ferreux</c:v>
                </c:pt>
                <c:pt idx="1">
                  <c:v>kg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d''impacts'!$R$23:$X$23</c:f>
              <c:numCache>
                <c:formatCode>0.0</c:formatCode>
                <c:ptCount val="7"/>
                <c:pt idx="0">
                  <c:v>0.20862399999999723</c:v>
                </c:pt>
                <c:pt idx="1">
                  <c:v>0.78540800000000111</c:v>
                </c:pt>
                <c:pt idx="2">
                  <c:v>0.78540800000000111</c:v>
                </c:pt>
                <c:pt idx="3">
                  <c:v>0.78540800000000111</c:v>
                </c:pt>
                <c:pt idx="4">
                  <c:v>0.78540800000000111</c:v>
                </c:pt>
                <c:pt idx="5">
                  <c:v>0.78540800000000111</c:v>
                </c:pt>
                <c:pt idx="6">
                  <c:v>0.78540800000000111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94-46C7-AA66-AFEB6F806995}"/>
            </c:ext>
          </c:extLst>
        </c:ser>
        <c:ser>
          <c:idx val="18"/>
          <c:order val="18"/>
          <c:tx>
            <c:strRef>
              <c:f>'Analyse d''impacts'!$A$24:$B$24</c:f>
              <c:strCache>
                <c:ptCount val="2"/>
                <c:pt idx="0">
                  <c:v>électronique</c:v>
                </c:pt>
                <c:pt idx="1">
                  <c:v>kg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d''impacts'!$R$24:$X$24</c:f>
              <c:numCache>
                <c:formatCode>0.0</c:formatCode>
                <c:ptCount val="7"/>
                <c:pt idx="0">
                  <c:v>11.706947999999954</c:v>
                </c:pt>
                <c:pt idx="1">
                  <c:v>13.362623999999968</c:v>
                </c:pt>
                <c:pt idx="2">
                  <c:v>13.362623999999968</c:v>
                </c:pt>
                <c:pt idx="3">
                  <c:v>13.362623999999968</c:v>
                </c:pt>
                <c:pt idx="4">
                  <c:v>13.362623999999968</c:v>
                </c:pt>
                <c:pt idx="5">
                  <c:v>13.362623999999968</c:v>
                </c:pt>
                <c:pt idx="6">
                  <c:v>13.362623999999968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94-46C7-AA66-AFEB6F806995}"/>
            </c:ext>
          </c:extLst>
        </c:ser>
        <c:ser>
          <c:idx val="19"/>
          <c:order val="19"/>
          <c:tx>
            <c:strRef>
              <c:f>'Analyse d''impacts'!$A$25:$B$25</c:f>
              <c:strCache>
                <c:ptCount val="2"/>
                <c:pt idx="0">
                  <c:v>textiles</c:v>
                </c:pt>
                <c:pt idx="1">
                  <c:v>kg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d''impacts'!$R$25:$X$25</c:f>
              <c:numCache>
                <c:formatCode>0.0</c:formatCode>
                <c:ptCount val="7"/>
                <c:pt idx="0">
                  <c:v>6.1012999999999789</c:v>
                </c:pt>
                <c:pt idx="1">
                  <c:v>6.3631999999999822</c:v>
                </c:pt>
                <c:pt idx="2">
                  <c:v>6.3631999999999822</c:v>
                </c:pt>
                <c:pt idx="3">
                  <c:v>6.3631999999999822</c:v>
                </c:pt>
                <c:pt idx="4">
                  <c:v>6.3631999999999822</c:v>
                </c:pt>
                <c:pt idx="5">
                  <c:v>6.3631999999999822</c:v>
                </c:pt>
                <c:pt idx="6">
                  <c:v>6.3631999999999822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94-46C7-AA66-AFEB6F806995}"/>
            </c:ext>
          </c:extLst>
        </c:ser>
        <c:ser>
          <c:idx val="20"/>
          <c:order val="20"/>
          <c:tx>
            <c:strRef>
              <c:f>'Analyse d''impacts'!$A$26:$B$26</c:f>
              <c:strCache>
                <c:ptCount val="2"/>
                <c:pt idx="0">
                  <c:v>fibre de carbone</c:v>
                </c:pt>
                <c:pt idx="1">
                  <c:v>kg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d''impacts'!$R$26:$X$26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94-46C7-AA66-AFEB6F806995}"/>
            </c:ext>
          </c:extLst>
        </c:ser>
        <c:ser>
          <c:idx val="21"/>
          <c:order val="21"/>
          <c:tx>
            <c:strRef>
              <c:f>'Analyse d''impacts'!$A$27:$B$27</c:f>
              <c:strCache>
                <c:ptCount val="2"/>
                <c:pt idx="0">
                  <c:v>électricité du réseau, Allemagne</c:v>
                </c:pt>
                <c:pt idx="1">
                  <c:v>kWh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d''impacts'!$R$27:$X$27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94-46C7-AA66-AFEB6F806995}"/>
            </c:ext>
          </c:extLst>
        </c:ser>
        <c:ser>
          <c:idx val="22"/>
          <c:order val="22"/>
          <c:tx>
            <c:strRef>
              <c:f>'Analyse d''impacts'!$A$28:$B$28</c:f>
              <c:strCache>
                <c:ptCount val="2"/>
                <c:pt idx="0">
                  <c:v>électricité du réseau, France</c:v>
                </c:pt>
                <c:pt idx="1">
                  <c:v>kWh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d''impacts'!$R$28:$X$28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94-46C7-AA66-AFEB6F806995}"/>
            </c:ext>
          </c:extLst>
        </c:ser>
        <c:ser>
          <c:idx val="23"/>
          <c:order val="23"/>
          <c:tx>
            <c:strRef>
              <c:f>'Analyse d''impacts'!$A$29:$B$29</c:f>
              <c:strCache>
                <c:ptCount val="2"/>
                <c:pt idx="0">
                  <c:v>électricité nucléaire</c:v>
                </c:pt>
                <c:pt idx="1">
                  <c:v>kWh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d''impacts'!$R$29:$X$29</c:f>
              <c:numCache>
                <c:formatCode>0.0</c:formatCode>
                <c:ptCount val="7"/>
                <c:pt idx="0">
                  <c:v>1.4957551084261722E-3</c:v>
                </c:pt>
                <c:pt idx="1">
                  <c:v>7.2050241354943936E-2</c:v>
                </c:pt>
                <c:pt idx="2">
                  <c:v>0.78929159600621412</c:v>
                </c:pt>
                <c:pt idx="3">
                  <c:v>0</c:v>
                </c:pt>
                <c:pt idx="4">
                  <c:v>0.44976484558758195</c:v>
                </c:pt>
                <c:pt idx="5">
                  <c:v>0</c:v>
                </c:pt>
                <c:pt idx="6">
                  <c:v>0.42137647304020504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94-46C7-AA66-AFEB6F806995}"/>
            </c:ext>
          </c:extLst>
        </c:ser>
        <c:ser>
          <c:idx val="24"/>
          <c:order val="24"/>
          <c:tx>
            <c:strRef>
              <c:f>'Analyse d''impacts'!$A$30:$B$30</c:f>
              <c:strCache>
                <c:ptCount val="2"/>
                <c:pt idx="0">
                  <c:v>électricité éolienne</c:v>
                </c:pt>
                <c:pt idx="1">
                  <c:v>kWh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d''impacts'!$R$30:$X$30</c:f>
              <c:numCache>
                <c:formatCode>0.0</c:formatCode>
                <c:ptCount val="7"/>
                <c:pt idx="0">
                  <c:v>9.5737576847821984E-3</c:v>
                </c:pt>
                <c:pt idx="1">
                  <c:v>0.46116610130658531</c:v>
                </c:pt>
                <c:pt idx="2">
                  <c:v>0.23819478417126208</c:v>
                </c:pt>
                <c:pt idx="3">
                  <c:v>1.0568950416110647</c:v>
                </c:pt>
                <c:pt idx="4">
                  <c:v>0.91956872834536718</c:v>
                </c:pt>
                <c:pt idx="5">
                  <c:v>1.6481986355941798</c:v>
                </c:pt>
                <c:pt idx="6">
                  <c:v>0.99311428288306902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94-46C7-AA66-AFEB6F806995}"/>
            </c:ext>
          </c:extLst>
        </c:ser>
        <c:ser>
          <c:idx val="25"/>
          <c:order val="25"/>
          <c:tx>
            <c:strRef>
              <c:f>'Analyse d''impacts'!$A$31:$B$31</c:f>
              <c:strCache>
                <c:ptCount val="2"/>
                <c:pt idx="0">
                  <c:v>électricité photovoltaïque</c:v>
                </c:pt>
                <c:pt idx="1">
                  <c:v>kWh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d''impacts'!$R$31:$X$31</c:f>
              <c:numCache>
                <c:formatCode>0.0</c:formatCode>
                <c:ptCount val="7"/>
                <c:pt idx="0">
                  <c:v>1.2063029469194061E-2</c:v>
                </c:pt>
                <c:pt idx="1">
                  <c:v>0.58107385348778362</c:v>
                </c:pt>
                <c:pt idx="2">
                  <c:v>0.33497944089163129</c:v>
                </c:pt>
                <c:pt idx="3">
                  <c:v>1.0371103658936873</c:v>
                </c:pt>
                <c:pt idx="4">
                  <c:v>0.78002189101268893</c:v>
                </c:pt>
                <c:pt idx="5">
                  <c:v>1.2423613888564431</c:v>
                </c:pt>
                <c:pt idx="6">
                  <c:v>0.82418438411132766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94-46C7-AA66-AFEB6F806995}"/>
            </c:ext>
          </c:extLst>
        </c:ser>
        <c:ser>
          <c:idx val="26"/>
          <c:order val="26"/>
          <c:tx>
            <c:strRef>
              <c:f>'Analyse d''impacts'!$A$32:$B$32</c:f>
              <c:strCache>
                <c:ptCount val="2"/>
                <c:pt idx="0">
                  <c:v>électricité hydroélectrique</c:v>
                </c:pt>
                <c:pt idx="1">
                  <c:v>kWh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d''impacts'!$R$32:$X$32</c:f>
              <c:numCache>
                <c:formatCode>0.0</c:formatCode>
                <c:ptCount val="7"/>
                <c:pt idx="0">
                  <c:v>1.3800083805865725E-3</c:v>
                </c:pt>
                <c:pt idx="1">
                  <c:v>6.647474331391566E-2</c:v>
                </c:pt>
                <c:pt idx="2">
                  <c:v>0.18735553895412785</c:v>
                </c:pt>
                <c:pt idx="3">
                  <c:v>6.6318259978313351E-2</c:v>
                </c:pt>
                <c:pt idx="4">
                  <c:v>0.16317466032439296</c:v>
                </c:pt>
                <c:pt idx="5">
                  <c:v>5.0018144156855952E-2</c:v>
                </c:pt>
                <c:pt idx="6">
                  <c:v>0.13734517425100085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94-46C7-AA66-AFEB6F806995}"/>
            </c:ext>
          </c:extLst>
        </c:ser>
        <c:ser>
          <c:idx val="27"/>
          <c:order val="27"/>
          <c:tx>
            <c:strRef>
              <c:f>'Analyse d''impacts'!$A$33:$B$33</c:f>
              <c:strCache>
                <c:ptCount val="2"/>
                <c:pt idx="0">
                  <c:v>électricité au charbon</c:v>
                </c:pt>
                <c:pt idx="1">
                  <c:v>kWh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d''impacts'!$R$33:$X$33</c:f>
              <c:numCache>
                <c:formatCode>0.0</c:formatCode>
                <c:ptCount val="7"/>
                <c:pt idx="0">
                  <c:v>2.0033169581317165</c:v>
                </c:pt>
                <c:pt idx="1">
                  <c:v>96.499399888873356</c:v>
                </c:pt>
                <c:pt idx="2">
                  <c:v>5.0699318304932834</c:v>
                </c:pt>
                <c:pt idx="3">
                  <c:v>22.941109999127569</c:v>
                </c:pt>
                <c:pt idx="4">
                  <c:v>0.4762549275181191</c:v>
                </c:pt>
                <c:pt idx="5">
                  <c:v>0.96024032373803447</c:v>
                </c:pt>
                <c:pt idx="6">
                  <c:v>1.9934483806547467E-2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94-46C7-AA66-AFEB6F806995}"/>
            </c:ext>
          </c:extLst>
        </c:ser>
        <c:ser>
          <c:idx val="28"/>
          <c:order val="28"/>
          <c:tx>
            <c:strRef>
              <c:f>'Analyse d''impacts'!$A$34:$B$34</c:f>
              <c:strCache>
                <c:ptCount val="2"/>
                <c:pt idx="0">
                  <c:v>électricité au gaz</c:v>
                </c:pt>
                <c:pt idx="1">
                  <c:v>kWh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d''impacts'!$R$34:$X$34</c:f>
              <c:numCache>
                <c:formatCode>0.0</c:formatCode>
                <c:ptCount val="7"/>
                <c:pt idx="0">
                  <c:v>0.63037797668939621</c:v>
                </c:pt>
                <c:pt idx="1">
                  <c:v>30.365188197887424</c:v>
                </c:pt>
                <c:pt idx="2">
                  <c:v>11.578711515002924</c:v>
                </c:pt>
                <c:pt idx="3">
                  <c:v>41.093421480691994</c:v>
                </c:pt>
                <c:pt idx="4">
                  <c:v>3.0789901139055882</c:v>
                </c:pt>
                <c:pt idx="5">
                  <c:v>6.0722348925764589</c:v>
                </c:pt>
                <c:pt idx="6">
                  <c:v>1.3607789272978594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94-46C7-AA66-AFEB6F806995}"/>
            </c:ext>
          </c:extLst>
        </c:ser>
        <c:ser>
          <c:idx val="29"/>
          <c:order val="29"/>
          <c:tx>
            <c:strRef>
              <c:f>'Analyse d''impacts'!$A$35:$B$35</c:f>
              <c:strCache>
                <c:ptCount val="2"/>
                <c:pt idx="0">
                  <c:v>électricité, autre</c:v>
                </c:pt>
                <c:pt idx="1">
                  <c:v>kWh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d''impacts'!$R$35:$X$35</c:f>
              <c:numCache>
                <c:formatCode>0.0</c:formatCode>
                <c:ptCount val="7"/>
                <c:pt idx="0">
                  <c:v>0.32729285507422284</c:v>
                </c:pt>
                <c:pt idx="1">
                  <c:v>15.765635075556478</c:v>
                </c:pt>
                <c:pt idx="2">
                  <c:v>7.3823547145161568</c:v>
                </c:pt>
                <c:pt idx="3">
                  <c:v>30.786111485778928</c:v>
                </c:pt>
                <c:pt idx="4">
                  <c:v>10.18315755122569</c:v>
                </c:pt>
                <c:pt idx="5">
                  <c:v>28.231159854714107</c:v>
                </c:pt>
                <c:pt idx="6">
                  <c:v>13.905456237752324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94-46C7-AA66-AFEB6F806995}"/>
            </c:ext>
          </c:extLst>
        </c:ser>
        <c:ser>
          <c:idx val="30"/>
          <c:order val="30"/>
          <c:tx>
            <c:strRef>
              <c:f>'Analyse d''impacts'!$A$36:$B$36</c:f>
              <c:strCache>
                <c:ptCount val="2"/>
                <c:pt idx="0">
                  <c:v>gaz naturel</c:v>
                </c:pt>
                <c:pt idx="1">
                  <c:v>MJ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d''impacts'!$R$36:$X$36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94-46C7-AA66-AFEB6F806995}"/>
            </c:ext>
          </c:extLst>
        </c:ser>
        <c:ser>
          <c:idx val="31"/>
          <c:order val="31"/>
          <c:tx>
            <c:strRef>
              <c:f>'Analyse d''impacts'!$A$37:$B$37</c:f>
              <c:strCache>
                <c:ptCount val="2"/>
                <c:pt idx="0">
                  <c:v>chaleur</c:v>
                </c:pt>
                <c:pt idx="1">
                  <c:v>MJ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d''impacts'!$R$37:$X$37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94-46C7-AA66-AFEB6F80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1839568"/>
        <c:axId val="207010496"/>
      </c:barChart>
      <c:lineChart>
        <c:grouping val="standard"/>
        <c:varyColors val="0"/>
        <c:ser>
          <c:idx val="32"/>
          <c:order val="32"/>
          <c:tx>
            <c:strRef>
              <c:f>'Analyse d''impacts'!$A$38:$B$38</c:f>
              <c:strCache>
                <c:ptCount val="2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'Analyse d''impacts'!$R$2:$X$3</c:f>
              <c:strCache>
                <c:ptCount val="7"/>
                <c:pt idx="0">
                  <c:v>transport, voiture diesel</c:v>
                </c:pt>
                <c:pt idx="1">
                  <c:v>Allemagne 2020</c:v>
                </c:pt>
                <c:pt idx="2">
                  <c:v>France 2020</c:v>
                </c:pt>
                <c:pt idx="3">
                  <c:v>Allemagne 2040, tendanciel</c:v>
                </c:pt>
                <c:pt idx="4">
                  <c:v>France 2040, tendanciel</c:v>
                </c:pt>
                <c:pt idx="5">
                  <c:v>Allemagne 2040, optimiste</c:v>
                </c:pt>
                <c:pt idx="6">
                  <c:v>France 2040, optimiste</c:v>
                </c:pt>
              </c:strCache>
            </c:strRef>
          </c:cat>
          <c:val>
            <c:numRef>
              <c:f>'Analyse d''impacts'!$R$38:$X$38</c:f>
              <c:numCache>
                <c:formatCode>0.0</c:formatCode>
                <c:ptCount val="7"/>
                <c:pt idx="0">
                  <c:v>273.20148434053812</c:v>
                </c:pt>
                <c:pt idx="1">
                  <c:v>205.31687610178037</c:v>
                </c:pt>
                <c:pt idx="2">
                  <c:v>87.086707420035495</c:v>
                </c:pt>
                <c:pt idx="3">
                  <c:v>158.48685463308144</c:v>
                </c:pt>
                <c:pt idx="4">
                  <c:v>77.556820717919322</c:v>
                </c:pt>
                <c:pt idx="5">
                  <c:v>99.710101239635961</c:v>
                </c:pt>
                <c:pt idx="6">
                  <c:v>79.168077963142224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594-46C7-AA66-AFEB6F80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839568"/>
        <c:axId val="207010496"/>
      </c:lineChart>
      <c:catAx>
        <c:axId val="5818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010496"/>
        <c:crosses val="autoZero"/>
        <c:auto val="1"/>
        <c:lblAlgn val="ctr"/>
        <c:lblOffset val="100"/>
        <c:noMultiLvlLbl val="0"/>
      </c:catAx>
      <c:valAx>
        <c:axId val="2070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818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ova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n-IE"/>
              <a:t>Comparaison véhicule diesel/véhicule électrique, 1 km, Allemagne, 2020</a:t>
            </a:r>
            <a:r>
              <a:rPr lang="en-IE" baseline="0"/>
              <a:t> pour trois indicateurs</a:t>
            </a:r>
            <a:endParaRPr lang="en-IE"/>
          </a:p>
        </c:rich>
      </c:tx>
      <c:layout>
        <c:manualLayout>
          <c:xMode val="edge"/>
          <c:yMode val="edge"/>
          <c:x val="7.6611102629670608E-2"/>
          <c:y val="2.0194738767007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d''impacts'!$A$6</c:f>
              <c:strCache>
                <c:ptCount val="1"/>
                <c:pt idx="0">
                  <c:v>transport, voiture 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d''impacts'!$C$6:$H$6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B-41A2-A125-74F47CBC68BF}"/>
            </c:ext>
          </c:extLst>
        </c:ser>
        <c:ser>
          <c:idx val="1"/>
          <c:order val="1"/>
          <c:tx>
            <c:strRef>
              <c:f>'Analyse d''impacts'!$A$7</c:f>
              <c:strCache>
                <c:ptCount val="1"/>
                <c:pt idx="0">
                  <c:v>transport, voiture électrique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d''impacts'!$C$7:$H$7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B-41A2-A125-74F47CBC68BF}"/>
            </c:ext>
          </c:extLst>
        </c:ser>
        <c:ser>
          <c:idx val="2"/>
          <c:order val="2"/>
          <c:tx>
            <c:strRef>
              <c:f>'Analyse d''impacts'!$A$8</c:f>
              <c:strCache>
                <c:ptCount val="1"/>
                <c:pt idx="0">
                  <c:v>voiture diesel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d''impacts'!$C$8:$H$8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B-41A2-A125-74F47CBC68BF}"/>
            </c:ext>
          </c:extLst>
        </c:ser>
        <c:ser>
          <c:idx val="3"/>
          <c:order val="3"/>
          <c:tx>
            <c:strRef>
              <c:f>'Analyse d''impacts'!$A$9</c:f>
              <c:strCache>
                <c:ptCount val="1"/>
                <c:pt idx="0">
                  <c:v>voiture électrique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d''impacts'!$C$9:$H$9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CB-41A2-A125-74F47CBC68BF}"/>
            </c:ext>
          </c:extLst>
        </c:ser>
        <c:ser>
          <c:idx val="4"/>
          <c:order val="4"/>
          <c:tx>
            <c:strRef>
              <c:f>'Analyse d''impacts'!$A$10</c:f>
              <c:strCache>
                <c:ptCount val="1"/>
                <c:pt idx="0">
                  <c:v>batterie lithium-ion,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d''impacts'!$C$10:$H$10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CB-41A2-A125-74F47CBC68BF}"/>
            </c:ext>
          </c:extLst>
        </c:ser>
        <c:ser>
          <c:idx val="5"/>
          <c:order val="5"/>
          <c:tx>
            <c:strRef>
              <c:f>'Analyse d''impacts'!$A$11</c:f>
              <c:strCache>
                <c:ptCount val="1"/>
                <c:pt idx="0">
                  <c:v>batterie lithium-ion, recyclage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d''impacts'!$C$11:$H$11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CB-41A2-A125-74F47CBC68BF}"/>
            </c:ext>
          </c:extLst>
        </c:ser>
        <c:ser>
          <c:idx val="6"/>
          <c:order val="6"/>
          <c:tx>
            <c:strRef>
              <c:f>'Analyse d''impacts'!$A$12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d''impacts'!$C$12:$H$12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CB-41A2-A125-74F47CBC68BF}"/>
            </c:ext>
          </c:extLst>
        </c:ser>
        <c:ser>
          <c:idx val="7"/>
          <c:order val="7"/>
          <c:tx>
            <c:strRef>
              <c:f>'Analyse d''impacts'!$A$13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d''impacts'!$C$13:$H$13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CB-41A2-A125-74F47CBC68BF}"/>
            </c:ext>
          </c:extLst>
        </c:ser>
        <c:ser>
          <c:idx val="8"/>
          <c:order val="8"/>
          <c:tx>
            <c:strRef>
              <c:f>'Analyse d''impacts'!$A$14</c:f>
              <c:strCache>
                <c:ptCount val="1"/>
                <c:pt idx="0">
                  <c:v>acier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d''impacts'!$C$14:$H$14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CB-41A2-A125-74F47CBC68BF}"/>
            </c:ext>
          </c:extLst>
        </c:ser>
        <c:ser>
          <c:idx val="9"/>
          <c:order val="9"/>
          <c:tx>
            <c:strRef>
              <c:f>'Analyse d''impacts'!$A$15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d''impacts'!$C$15:$H$15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CB-41A2-A125-74F47CBC68BF}"/>
            </c:ext>
          </c:extLst>
        </c:ser>
        <c:ser>
          <c:idx val="10"/>
          <c:order val="10"/>
          <c:tx>
            <c:strRef>
              <c:f>'Analyse d''impacts'!$A$16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d''impacts'!$C$16:$H$16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CB-41A2-A125-74F47CBC68BF}"/>
            </c:ext>
          </c:extLst>
        </c:ser>
        <c:ser>
          <c:idx val="11"/>
          <c:order val="11"/>
          <c:tx>
            <c:strRef>
              <c:f>'Analyse d''impacts'!$A$17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d''impacts'!$C$17:$H$17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CB-41A2-A125-74F47CBC68BF}"/>
            </c:ext>
          </c:extLst>
        </c:ser>
        <c:ser>
          <c:idx val="12"/>
          <c:order val="12"/>
          <c:tx>
            <c:strRef>
              <c:f>'Analyse d''impacts'!$A$18</c:f>
              <c:strCache>
                <c:ptCount val="1"/>
                <c:pt idx="0">
                  <c:v>peinture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d''impacts'!$C$18:$H$18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CB-41A2-A125-74F47CBC68BF}"/>
            </c:ext>
          </c:extLst>
        </c:ser>
        <c:ser>
          <c:idx val="13"/>
          <c:order val="13"/>
          <c:tx>
            <c:strRef>
              <c:f>'Analyse d''impacts'!$A$19</c:f>
              <c:strCache>
                <c:ptCount val="1"/>
                <c:pt idx="0">
                  <c:v>plastiques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d''impacts'!$C$19:$H$19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CB-41A2-A125-74F47CBC68BF}"/>
            </c:ext>
          </c:extLst>
        </c:ser>
        <c:ser>
          <c:idx val="14"/>
          <c:order val="14"/>
          <c:tx>
            <c:strRef>
              <c:f>'Analyse d''impacts'!$A$20</c:f>
              <c:strCache>
                <c:ptCount val="1"/>
                <c:pt idx="0">
                  <c:v>gomme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d''impacts'!$C$20:$H$20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CB-41A2-A125-74F47CBC68BF}"/>
            </c:ext>
          </c:extLst>
        </c:ser>
        <c:ser>
          <c:idx val="15"/>
          <c:order val="15"/>
          <c:tx>
            <c:strRef>
              <c:f>'Analyse d''impacts'!$A$21</c:f>
              <c:strCache>
                <c:ptCount val="1"/>
                <c:pt idx="0">
                  <c:v>lubrifiant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d''impacts'!$C$21:$H$21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CB-41A2-A125-74F47CBC68BF}"/>
            </c:ext>
          </c:extLst>
        </c:ser>
        <c:ser>
          <c:idx val="16"/>
          <c:order val="16"/>
          <c:tx>
            <c:strRef>
              <c:f>'Analyse d''impacts'!$A$22</c:f>
              <c:strCache>
                <c:ptCount val="1"/>
                <c:pt idx="0">
                  <c:v>cuivre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d''impacts'!$C$22:$H$22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CB-41A2-A125-74F47CBC68BF}"/>
            </c:ext>
          </c:extLst>
        </c:ser>
        <c:ser>
          <c:idx val="17"/>
          <c:order val="17"/>
          <c:tx>
            <c:strRef>
              <c:f>'Analyse d''impacts'!$A$23</c:f>
              <c:strCache>
                <c:ptCount val="1"/>
                <c:pt idx="0">
                  <c:v>métaux non ferreux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d''impacts'!$C$23:$H$23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4CB-41A2-A125-74F47CBC68BF}"/>
            </c:ext>
          </c:extLst>
        </c:ser>
        <c:ser>
          <c:idx val="18"/>
          <c:order val="18"/>
          <c:tx>
            <c:strRef>
              <c:f>'Analyse d''impacts'!$A$24</c:f>
              <c:strCache>
                <c:ptCount val="1"/>
                <c:pt idx="0">
                  <c:v>électronique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d''impacts'!$C$24:$H$24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4CB-41A2-A125-74F47CBC68BF}"/>
            </c:ext>
          </c:extLst>
        </c:ser>
        <c:ser>
          <c:idx val="19"/>
          <c:order val="19"/>
          <c:tx>
            <c:strRef>
              <c:f>'Analyse d''impacts'!$A$25</c:f>
              <c:strCache>
                <c:ptCount val="1"/>
                <c:pt idx="0">
                  <c:v>textiles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d''impacts'!$C$25:$H$25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CB-41A2-A125-74F47CBC68BF}"/>
            </c:ext>
          </c:extLst>
        </c:ser>
        <c:ser>
          <c:idx val="20"/>
          <c:order val="20"/>
          <c:tx>
            <c:strRef>
              <c:f>'Analyse d''impacts'!$A$26</c:f>
              <c:strCache>
                <c:ptCount val="1"/>
                <c:pt idx="0">
                  <c:v>fibre de carbone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d''impacts'!$C$26:$H$26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CB-41A2-A125-74F47CBC68BF}"/>
            </c:ext>
          </c:extLst>
        </c:ser>
        <c:ser>
          <c:idx val="21"/>
          <c:order val="21"/>
          <c:tx>
            <c:strRef>
              <c:f>'Analyse d''impacts'!$A$27</c:f>
              <c:strCache>
                <c:ptCount val="1"/>
                <c:pt idx="0">
                  <c:v>électricité du réseau, Allemagne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d''impacts'!$C$27:$H$27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CB-41A2-A125-74F47CBC68BF}"/>
            </c:ext>
          </c:extLst>
        </c:ser>
        <c:ser>
          <c:idx val="22"/>
          <c:order val="22"/>
          <c:tx>
            <c:strRef>
              <c:f>'Analyse d''impacts'!$A$28</c:f>
              <c:strCache>
                <c:ptCount val="1"/>
                <c:pt idx="0">
                  <c:v>électricité du réseau, France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d''impacts'!$C$28:$H$28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CB-41A2-A125-74F47CBC68BF}"/>
            </c:ext>
          </c:extLst>
        </c:ser>
        <c:ser>
          <c:idx val="23"/>
          <c:order val="23"/>
          <c:tx>
            <c:strRef>
              <c:f>'Analyse d''impacts'!$A$29</c:f>
              <c:strCache>
                <c:ptCount val="1"/>
                <c:pt idx="0">
                  <c:v>électricité nucléaire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d''impacts'!$C$29:$H$29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4CB-41A2-A125-74F47CBC68BF}"/>
            </c:ext>
          </c:extLst>
        </c:ser>
        <c:ser>
          <c:idx val="24"/>
          <c:order val="24"/>
          <c:tx>
            <c:strRef>
              <c:f>'Analyse d''impacts'!$A$30</c:f>
              <c:strCache>
                <c:ptCount val="1"/>
                <c:pt idx="0">
                  <c:v>électricité éolienne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d''impacts'!$C$30:$H$30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4CB-41A2-A125-74F47CBC68BF}"/>
            </c:ext>
          </c:extLst>
        </c:ser>
        <c:ser>
          <c:idx val="25"/>
          <c:order val="25"/>
          <c:tx>
            <c:strRef>
              <c:f>'Analyse d''impacts'!$A$31</c:f>
              <c:strCache>
                <c:ptCount val="1"/>
                <c:pt idx="0">
                  <c:v>électricité photovoltaïque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d''impacts'!$C$31:$H$31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4CB-41A2-A125-74F47CBC68BF}"/>
            </c:ext>
          </c:extLst>
        </c:ser>
        <c:ser>
          <c:idx val="26"/>
          <c:order val="26"/>
          <c:tx>
            <c:strRef>
              <c:f>'Analyse d''impacts'!$A$32</c:f>
              <c:strCache>
                <c:ptCount val="1"/>
                <c:pt idx="0">
                  <c:v>électricité hydroélectrique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d''impacts'!$C$32:$H$32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4CB-41A2-A125-74F47CBC68BF}"/>
            </c:ext>
          </c:extLst>
        </c:ser>
        <c:ser>
          <c:idx val="27"/>
          <c:order val="27"/>
          <c:tx>
            <c:strRef>
              <c:f>'Analyse d''impacts'!$A$33</c:f>
              <c:strCache>
                <c:ptCount val="1"/>
                <c:pt idx="0">
                  <c:v>électricité au charbon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d''impacts'!$C$33:$H$33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4CB-41A2-A125-74F47CBC68BF}"/>
            </c:ext>
          </c:extLst>
        </c:ser>
        <c:ser>
          <c:idx val="28"/>
          <c:order val="28"/>
          <c:tx>
            <c:strRef>
              <c:f>'Analyse d''impacts'!$A$34</c:f>
              <c:strCache>
                <c:ptCount val="1"/>
                <c:pt idx="0">
                  <c:v>électricité au gaz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d''impacts'!$C$34:$H$34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4CB-41A2-A125-74F47CBC68BF}"/>
            </c:ext>
          </c:extLst>
        </c:ser>
        <c:ser>
          <c:idx val="29"/>
          <c:order val="29"/>
          <c:tx>
            <c:strRef>
              <c:f>'Analyse d''impacts'!$A$35</c:f>
              <c:strCache>
                <c:ptCount val="1"/>
                <c:pt idx="0">
                  <c:v>électricité, autre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d''impacts'!$C$35:$H$35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4CB-41A2-A125-74F47CBC68BF}"/>
            </c:ext>
          </c:extLst>
        </c:ser>
        <c:ser>
          <c:idx val="30"/>
          <c:order val="30"/>
          <c:tx>
            <c:strRef>
              <c:f>'Analyse d''impacts'!$A$36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d''impacts'!$C$36:$H$36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4CB-41A2-A125-74F47CBC68BF}"/>
            </c:ext>
          </c:extLst>
        </c:ser>
        <c:ser>
          <c:idx val="31"/>
          <c:order val="31"/>
          <c:tx>
            <c:strRef>
              <c:f>'Analyse d''impacts'!$A$37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d''impacts'!$C$2:$H$3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 (g CO2 eq.)</c:v>
                  </c:pt>
                  <c:pt idx="2">
                    <c:v>Énergie primaire (100 J)</c:v>
                  </c:pt>
                  <c:pt idx="4">
                    <c:v>Matériaux (μg Sb eq.)</c:v>
                  </c:pt>
                </c:lvl>
              </c:multiLvlStrCache>
            </c:multiLvlStrRef>
          </c:cat>
          <c:val>
            <c:numRef>
              <c:f>'Analyse d''impacts'!$C$37:$H$37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4CB-41A2-A125-74F47CBC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19000912"/>
        <c:axId val="212952096"/>
      </c:barChart>
      <c:lineChart>
        <c:grouping val="stacked"/>
        <c:varyColors val="0"/>
        <c:ser>
          <c:idx val="32"/>
          <c:order val="32"/>
          <c:tx>
            <c:strRef>
              <c:f>'Analyse d''impacts'!$A$38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'Analyse d''impacts'!$C$38:$H$38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4CB-41A2-A125-74F47CBC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000912"/>
        <c:axId val="212952096"/>
      </c:lineChart>
      <c:catAx>
        <c:axId val="5190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52096"/>
        <c:crosses val="autoZero"/>
        <c:auto val="1"/>
        <c:lblAlgn val="ctr"/>
        <c:lblOffset val="100"/>
        <c:noMultiLvlLbl val="0"/>
      </c:catAx>
      <c:valAx>
        <c:axId val="2129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90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55263031279857"/>
          <c:y val="2.7043664996420906E-2"/>
          <c:w val="0.17416062364031906"/>
          <c:h val="0.79050953287078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ova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n-IE"/>
              <a:t>Comparaison véhicule diesel/véhicule électrique, pour trois indicateurs</a:t>
            </a:r>
          </a:p>
        </c:rich>
      </c:tx>
      <c:layout>
        <c:manualLayout>
          <c:xMode val="edge"/>
          <c:yMode val="edge"/>
          <c:x val="7.6611102629670608E-2"/>
          <c:y val="2.0194738767007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d''impacts'!$A$6</c:f>
              <c:strCache>
                <c:ptCount val="1"/>
                <c:pt idx="0">
                  <c:v>transport, voiture 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d''impacts'!$I$6:$N$6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B-41A2-A125-74F47CBC68BF}"/>
            </c:ext>
          </c:extLst>
        </c:ser>
        <c:ser>
          <c:idx val="1"/>
          <c:order val="1"/>
          <c:tx>
            <c:strRef>
              <c:f>'Analyse d''impacts'!$A$7</c:f>
              <c:strCache>
                <c:ptCount val="1"/>
                <c:pt idx="0">
                  <c:v>transport, voiture électrique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d''impacts'!$I$7:$N$7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B-41A2-A125-74F47CBC68BF}"/>
            </c:ext>
          </c:extLst>
        </c:ser>
        <c:ser>
          <c:idx val="2"/>
          <c:order val="2"/>
          <c:tx>
            <c:strRef>
              <c:f>'Analyse d''impacts'!$A$8</c:f>
              <c:strCache>
                <c:ptCount val="1"/>
                <c:pt idx="0">
                  <c:v>voiture diesel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d''impacts'!$I$8:$N$8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B-41A2-A125-74F47CBC68BF}"/>
            </c:ext>
          </c:extLst>
        </c:ser>
        <c:ser>
          <c:idx val="3"/>
          <c:order val="3"/>
          <c:tx>
            <c:strRef>
              <c:f>'Analyse d''impacts'!$A$9</c:f>
              <c:strCache>
                <c:ptCount val="1"/>
                <c:pt idx="0">
                  <c:v>voiture électrique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d''impacts'!$I$9:$N$9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CB-41A2-A125-74F47CBC68BF}"/>
            </c:ext>
          </c:extLst>
        </c:ser>
        <c:ser>
          <c:idx val="4"/>
          <c:order val="4"/>
          <c:tx>
            <c:strRef>
              <c:f>'Analyse d''impacts'!$A$10</c:f>
              <c:strCache>
                <c:ptCount val="1"/>
                <c:pt idx="0">
                  <c:v>batterie lithium-ion, production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d''impacts'!$I$10:$N$10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CB-41A2-A125-74F47CBC68BF}"/>
            </c:ext>
          </c:extLst>
        </c:ser>
        <c:ser>
          <c:idx val="5"/>
          <c:order val="5"/>
          <c:tx>
            <c:strRef>
              <c:f>'Analyse d''impacts'!$A$11</c:f>
              <c:strCache>
                <c:ptCount val="1"/>
                <c:pt idx="0">
                  <c:v>batterie lithium-ion, recyclage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d''impacts'!$I$11:$N$11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CB-41A2-A125-74F47CBC68BF}"/>
            </c:ext>
          </c:extLst>
        </c:ser>
        <c:ser>
          <c:idx val="6"/>
          <c:order val="6"/>
          <c:tx>
            <c:strRef>
              <c:f>'Analyse d''impacts'!$A$12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d''impacts'!$I$12:$N$12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CB-41A2-A125-74F47CBC68BF}"/>
            </c:ext>
          </c:extLst>
        </c:ser>
        <c:ser>
          <c:idx val="7"/>
          <c:order val="7"/>
          <c:tx>
            <c:strRef>
              <c:f>'Analyse d''impacts'!$A$13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d''impacts'!$I$13:$N$13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CB-41A2-A125-74F47CBC68BF}"/>
            </c:ext>
          </c:extLst>
        </c:ser>
        <c:ser>
          <c:idx val="8"/>
          <c:order val="8"/>
          <c:tx>
            <c:strRef>
              <c:f>'Analyse d''impacts'!$A$14</c:f>
              <c:strCache>
                <c:ptCount val="1"/>
                <c:pt idx="0">
                  <c:v>acier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d''impacts'!$I$14:$N$14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CB-41A2-A125-74F47CBC68BF}"/>
            </c:ext>
          </c:extLst>
        </c:ser>
        <c:ser>
          <c:idx val="9"/>
          <c:order val="9"/>
          <c:tx>
            <c:strRef>
              <c:f>'Analyse d''impacts'!$A$15</c:f>
              <c:strCache>
                <c:ptCount val="1"/>
                <c:pt idx="0">
                  <c:v>fonte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d''impacts'!$I$15:$N$15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CB-41A2-A125-74F47CBC68BF}"/>
            </c:ext>
          </c:extLst>
        </c:ser>
        <c:ser>
          <c:idx val="10"/>
          <c:order val="10"/>
          <c:tx>
            <c:strRef>
              <c:f>'Analyse d''impacts'!$A$16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d''impacts'!$I$16:$N$16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CB-41A2-A125-74F47CBC68BF}"/>
            </c:ext>
          </c:extLst>
        </c:ser>
        <c:ser>
          <c:idx val="11"/>
          <c:order val="11"/>
          <c:tx>
            <c:strRef>
              <c:f>'Analyse d''impacts'!$A$17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d''impacts'!$I$17:$N$17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CB-41A2-A125-74F47CBC68BF}"/>
            </c:ext>
          </c:extLst>
        </c:ser>
        <c:ser>
          <c:idx val="12"/>
          <c:order val="12"/>
          <c:tx>
            <c:strRef>
              <c:f>'Analyse d''impacts'!$A$18</c:f>
              <c:strCache>
                <c:ptCount val="1"/>
                <c:pt idx="0">
                  <c:v>peinture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d''impacts'!$I$18:$N$18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CB-41A2-A125-74F47CBC68BF}"/>
            </c:ext>
          </c:extLst>
        </c:ser>
        <c:ser>
          <c:idx val="13"/>
          <c:order val="13"/>
          <c:tx>
            <c:strRef>
              <c:f>'Analyse d''impacts'!$A$19</c:f>
              <c:strCache>
                <c:ptCount val="1"/>
                <c:pt idx="0">
                  <c:v>plastiques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d''impacts'!$I$19:$N$19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CB-41A2-A125-74F47CBC68BF}"/>
            </c:ext>
          </c:extLst>
        </c:ser>
        <c:ser>
          <c:idx val="14"/>
          <c:order val="14"/>
          <c:tx>
            <c:strRef>
              <c:f>'Analyse d''impacts'!$A$20</c:f>
              <c:strCache>
                <c:ptCount val="1"/>
                <c:pt idx="0">
                  <c:v>gomme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d''impacts'!$I$20:$N$20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CB-41A2-A125-74F47CBC68BF}"/>
            </c:ext>
          </c:extLst>
        </c:ser>
        <c:ser>
          <c:idx val="15"/>
          <c:order val="15"/>
          <c:tx>
            <c:strRef>
              <c:f>'Analyse d''impacts'!$A$21</c:f>
              <c:strCache>
                <c:ptCount val="1"/>
                <c:pt idx="0">
                  <c:v>lubrifiant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d''impacts'!$I$21:$N$21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CB-41A2-A125-74F47CBC68BF}"/>
            </c:ext>
          </c:extLst>
        </c:ser>
        <c:ser>
          <c:idx val="16"/>
          <c:order val="16"/>
          <c:tx>
            <c:strRef>
              <c:f>'Analyse d''impacts'!$A$22</c:f>
              <c:strCache>
                <c:ptCount val="1"/>
                <c:pt idx="0">
                  <c:v>cuivre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d''impacts'!$I$22:$N$22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CB-41A2-A125-74F47CBC68BF}"/>
            </c:ext>
          </c:extLst>
        </c:ser>
        <c:ser>
          <c:idx val="17"/>
          <c:order val="17"/>
          <c:tx>
            <c:strRef>
              <c:f>'Analyse d''impacts'!$A$23</c:f>
              <c:strCache>
                <c:ptCount val="1"/>
                <c:pt idx="0">
                  <c:v>métaux non ferreux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d''impacts'!$I$23:$N$23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4CB-41A2-A125-74F47CBC68BF}"/>
            </c:ext>
          </c:extLst>
        </c:ser>
        <c:ser>
          <c:idx val="18"/>
          <c:order val="18"/>
          <c:tx>
            <c:strRef>
              <c:f>'Analyse d''impacts'!$A$24</c:f>
              <c:strCache>
                <c:ptCount val="1"/>
                <c:pt idx="0">
                  <c:v>électronique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d''impacts'!$I$24:$N$24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4CB-41A2-A125-74F47CBC68BF}"/>
            </c:ext>
          </c:extLst>
        </c:ser>
        <c:ser>
          <c:idx val="19"/>
          <c:order val="19"/>
          <c:tx>
            <c:strRef>
              <c:f>'Analyse d''impacts'!$A$25</c:f>
              <c:strCache>
                <c:ptCount val="1"/>
                <c:pt idx="0">
                  <c:v>textiles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d''impacts'!$I$25:$N$25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CB-41A2-A125-74F47CBC68BF}"/>
            </c:ext>
          </c:extLst>
        </c:ser>
        <c:ser>
          <c:idx val="20"/>
          <c:order val="20"/>
          <c:tx>
            <c:strRef>
              <c:f>'Analyse d''impacts'!$A$26</c:f>
              <c:strCache>
                <c:ptCount val="1"/>
                <c:pt idx="0">
                  <c:v>fibre de carbone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d''impacts'!$I$26:$N$26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CB-41A2-A125-74F47CBC68BF}"/>
            </c:ext>
          </c:extLst>
        </c:ser>
        <c:ser>
          <c:idx val="21"/>
          <c:order val="21"/>
          <c:tx>
            <c:strRef>
              <c:f>'Analyse d''impacts'!$A$27</c:f>
              <c:strCache>
                <c:ptCount val="1"/>
                <c:pt idx="0">
                  <c:v>électricité du réseau, Allemagne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d''impacts'!$I$27:$N$27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CB-41A2-A125-74F47CBC68BF}"/>
            </c:ext>
          </c:extLst>
        </c:ser>
        <c:ser>
          <c:idx val="22"/>
          <c:order val="22"/>
          <c:tx>
            <c:strRef>
              <c:f>'Analyse d''impacts'!$A$28</c:f>
              <c:strCache>
                <c:ptCount val="1"/>
                <c:pt idx="0">
                  <c:v>électricité du réseau, France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d''impacts'!$I$28:$N$28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CB-41A2-A125-74F47CBC68BF}"/>
            </c:ext>
          </c:extLst>
        </c:ser>
        <c:ser>
          <c:idx val="23"/>
          <c:order val="23"/>
          <c:tx>
            <c:strRef>
              <c:f>'Analyse d''impacts'!$A$29</c:f>
              <c:strCache>
                <c:ptCount val="1"/>
                <c:pt idx="0">
                  <c:v>électricité nucléaire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d''impacts'!$I$29:$N$29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4CB-41A2-A125-74F47CBC68BF}"/>
            </c:ext>
          </c:extLst>
        </c:ser>
        <c:ser>
          <c:idx val="24"/>
          <c:order val="24"/>
          <c:tx>
            <c:strRef>
              <c:f>'Analyse d''impacts'!$A$30</c:f>
              <c:strCache>
                <c:ptCount val="1"/>
                <c:pt idx="0">
                  <c:v>électricité éolienne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d''impacts'!$I$30:$N$30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4CB-41A2-A125-74F47CBC68BF}"/>
            </c:ext>
          </c:extLst>
        </c:ser>
        <c:ser>
          <c:idx val="25"/>
          <c:order val="25"/>
          <c:tx>
            <c:strRef>
              <c:f>'Analyse d''impacts'!$A$31</c:f>
              <c:strCache>
                <c:ptCount val="1"/>
                <c:pt idx="0">
                  <c:v>électricité photovoltaïque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d''impacts'!$I$31:$N$31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4CB-41A2-A125-74F47CBC68BF}"/>
            </c:ext>
          </c:extLst>
        </c:ser>
        <c:ser>
          <c:idx val="26"/>
          <c:order val="26"/>
          <c:tx>
            <c:strRef>
              <c:f>'Analyse d''impacts'!$A$32</c:f>
              <c:strCache>
                <c:ptCount val="1"/>
                <c:pt idx="0">
                  <c:v>électricité hydroélectrique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d''impacts'!$I$32:$N$32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4CB-41A2-A125-74F47CBC68BF}"/>
            </c:ext>
          </c:extLst>
        </c:ser>
        <c:ser>
          <c:idx val="27"/>
          <c:order val="27"/>
          <c:tx>
            <c:strRef>
              <c:f>'Analyse d''impacts'!$A$33</c:f>
              <c:strCache>
                <c:ptCount val="1"/>
                <c:pt idx="0">
                  <c:v>électricité au charbon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d''impacts'!$I$33:$N$33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4CB-41A2-A125-74F47CBC68BF}"/>
            </c:ext>
          </c:extLst>
        </c:ser>
        <c:ser>
          <c:idx val="28"/>
          <c:order val="28"/>
          <c:tx>
            <c:strRef>
              <c:f>'Analyse d''impacts'!$A$34</c:f>
              <c:strCache>
                <c:ptCount val="1"/>
                <c:pt idx="0">
                  <c:v>électricité au gaz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d''impacts'!$I$34:$N$34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4CB-41A2-A125-74F47CBC68BF}"/>
            </c:ext>
          </c:extLst>
        </c:ser>
        <c:ser>
          <c:idx val="29"/>
          <c:order val="29"/>
          <c:tx>
            <c:strRef>
              <c:f>'Analyse d''impacts'!$A$35</c:f>
              <c:strCache>
                <c:ptCount val="1"/>
                <c:pt idx="0">
                  <c:v>électricité, autre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d''impacts'!$I$35:$N$35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4CB-41A2-A125-74F47CBC68BF}"/>
            </c:ext>
          </c:extLst>
        </c:ser>
        <c:ser>
          <c:idx val="30"/>
          <c:order val="30"/>
          <c:tx>
            <c:strRef>
              <c:f>'Analyse d''impacts'!$A$36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d''impacts'!$I$36:$N$36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4CB-41A2-A125-74F47CBC68BF}"/>
            </c:ext>
          </c:extLst>
        </c:ser>
        <c:ser>
          <c:idx val="31"/>
          <c:order val="31"/>
          <c:tx>
            <c:strRef>
              <c:f>'Analyse d''impacts'!$A$37</c:f>
              <c:strCache>
                <c:ptCount val="1"/>
                <c:pt idx="0">
                  <c:v>chaleur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d''impacts'!$I$37:$N$37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4CB-41A2-A125-74F47CBC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19000912"/>
        <c:axId val="212952096"/>
      </c:barChart>
      <c:lineChart>
        <c:grouping val="stacked"/>
        <c:varyColors val="0"/>
        <c:ser>
          <c:idx val="32"/>
          <c:order val="32"/>
          <c:tx>
            <c:strRef>
              <c:f>'Analyse d''impacts'!$A$38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'Analyse d''impacts'!$I$2:$N$3</c:f>
              <c:multiLvlStrCache>
                <c:ptCount val="6"/>
                <c:lvl>
                  <c:pt idx="0">
                    <c:v>transport, voiture diesel</c:v>
                  </c:pt>
                  <c:pt idx="1">
                    <c:v>transport, voiture électrique</c:v>
                  </c:pt>
                  <c:pt idx="2">
                    <c:v>transport, voiture diesel</c:v>
                  </c:pt>
                  <c:pt idx="3">
                    <c:v>transport, voiture électrique</c:v>
                  </c:pt>
                  <c:pt idx="4">
                    <c:v>transport, voiture diesel</c:v>
                  </c:pt>
                  <c:pt idx="5">
                    <c:v>transport, voiture électrique</c:v>
                  </c:pt>
                </c:lvl>
                <c:lvl>
                  <c:pt idx="0">
                    <c:v>Changement climatique</c:v>
                  </c:pt>
                  <c:pt idx="2">
                    <c:v>Énergie primaire</c:v>
                  </c:pt>
                  <c:pt idx="4">
                    <c:v>Matériaux</c:v>
                  </c:pt>
                </c:lvl>
              </c:multiLvlStrCache>
            </c:multiLvlStrRef>
          </c:cat>
          <c:val>
            <c:numRef>
              <c:f>'Analyse d''impacts'!$I$38:$N$38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4CB-41A2-A125-74F47CBC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000912"/>
        <c:axId val="212952096"/>
      </c:lineChart>
      <c:catAx>
        <c:axId val="5190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52096"/>
        <c:crosses val="autoZero"/>
        <c:auto val="1"/>
        <c:lblAlgn val="ctr"/>
        <c:lblOffset val="100"/>
        <c:noMultiLvlLbl val="0"/>
      </c:catAx>
      <c:valAx>
        <c:axId val="2129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190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55263031279857"/>
          <c:y val="2.7043664996420906E-2"/>
          <c:w val="0.17416062364031906"/>
          <c:h val="0.79050953287078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ova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34869</xdr:rowOff>
    </xdr:from>
    <xdr:to>
      <xdr:col>37</xdr:col>
      <xdr:colOff>449494</xdr:colOff>
      <xdr:row>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3FB6A-1696-3012-DFCC-F3F97AC2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792" y="323830"/>
          <a:ext cx="6143090" cy="3186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181938</xdr:colOff>
          <xdr:row>44</xdr:row>
          <xdr:rowOff>10702</xdr:rowOff>
        </xdr:from>
        <xdr:to>
          <xdr:col>8</xdr:col>
          <xdr:colOff>181938</xdr:colOff>
          <xdr:row>45</xdr:row>
          <xdr:rowOff>29752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3F66D9A5-03EA-5645-963D-01C05B18E1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I$6" spid="_x0000_s107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321657" y="7887556"/>
              <a:ext cx="406685" cy="1581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160532</xdr:colOff>
          <xdr:row>55</xdr:row>
          <xdr:rowOff>139128</xdr:rowOff>
        </xdr:from>
        <xdr:to>
          <xdr:col>27</xdr:col>
          <xdr:colOff>180760</xdr:colOff>
          <xdr:row>57</xdr:row>
          <xdr:rowOff>9524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BE62F93A-807F-79BC-0291-A5F4278985E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I$7" spid="_x0000_s107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4736993" y="9567808"/>
              <a:ext cx="405509" cy="14865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256854</xdr:colOff>
          <xdr:row>173</xdr:row>
          <xdr:rowOff>10702</xdr:rowOff>
        </xdr:from>
        <xdr:to>
          <xdr:col>6</xdr:col>
          <xdr:colOff>227637</xdr:colOff>
          <xdr:row>174</xdr:row>
          <xdr:rowOff>20227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6C84E02C-84E7-1BFC-E8B2-E9301E4664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I$8" spid="_x0000_s107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518989" y="22175056"/>
              <a:ext cx="409575" cy="14865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340180</xdr:rowOff>
    </xdr:from>
    <xdr:to>
      <xdr:col>43</xdr:col>
      <xdr:colOff>244928</xdr:colOff>
      <xdr:row>39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B65435-EF26-126E-4F91-D8895B338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44</xdr:row>
      <xdr:rowOff>0</xdr:rowOff>
    </xdr:from>
    <xdr:to>
      <xdr:col>17</xdr:col>
      <xdr:colOff>279400</xdr:colOff>
      <xdr:row>70</xdr:row>
      <xdr:rowOff>140607</xdr:rowOff>
    </xdr:to>
    <xdr:graphicFrame macro="">
      <xdr:nvGraphicFramePr>
        <xdr:cNvPr id="2" name="Content Placeholder 4">
          <a:extLst>
            <a:ext uri="{FF2B5EF4-FFF2-40B4-BE49-F238E27FC236}">
              <a16:creationId xmlns:a16="http://schemas.microsoft.com/office/drawing/2014/main" id="{8923B878-9447-6557-0BDA-B3B9CA2FB4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76</xdr:row>
      <xdr:rowOff>0</xdr:rowOff>
    </xdr:from>
    <xdr:to>
      <xdr:col>17</xdr:col>
      <xdr:colOff>279400</xdr:colOff>
      <xdr:row>102</xdr:row>
      <xdr:rowOff>140607</xdr:rowOff>
    </xdr:to>
    <xdr:graphicFrame macro="">
      <xdr:nvGraphicFramePr>
        <xdr:cNvPr id="3" name="Content Placeholder 4">
          <a:extLst>
            <a:ext uri="{FF2B5EF4-FFF2-40B4-BE49-F238E27FC236}">
              <a16:creationId xmlns:a16="http://schemas.microsoft.com/office/drawing/2014/main" id="{A7A4DBC8-F1AC-4891-8B06-78E978F399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15</xdr:col>
      <xdr:colOff>462644</xdr:colOff>
      <xdr:row>32</xdr:row>
      <xdr:rowOff>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F5DF9-A3FA-3237-D3BE-19233964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2393" y="149679"/>
          <a:ext cx="5973536" cy="44913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140804</xdr:rowOff>
    </xdr:from>
    <xdr:to>
      <xdr:col>15</xdr:col>
      <xdr:colOff>45129</xdr:colOff>
      <xdr:row>64</xdr:row>
      <xdr:rowOff>27215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7DEDCC-C4EE-A49F-01A8-8BC0444CB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2393" y="4930518"/>
          <a:ext cx="5556021" cy="45264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2</xdr:row>
      <xdr:rowOff>0</xdr:rowOff>
    </xdr:from>
    <xdr:to>
      <xdr:col>20</xdr:col>
      <xdr:colOff>199941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03FB0-EDB7-91BC-EDC6-6EB176D99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1" y="381000"/>
          <a:ext cx="6295940" cy="3038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75276</xdr:colOff>
      <xdr:row>30</xdr:row>
      <xdr:rowOff>56452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C969E-B979-05B1-8C98-3F25BFB39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390476" cy="5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lipstream">
    <a:dk1>
      <a:sysClr val="windowText" lastClr="000000"/>
    </a:dk1>
    <a:lt1>
      <a:sysClr val="window" lastClr="FFFFFF"/>
    </a:lt1>
    <a:dk2>
      <a:srgbClr val="212745"/>
    </a:dk2>
    <a:lt2>
      <a:srgbClr val="B4DCFA"/>
    </a:lt2>
    <a:accent1>
      <a:srgbClr val="4E67C8"/>
    </a:accent1>
    <a:accent2>
      <a:srgbClr val="5ECCF3"/>
    </a:accent2>
    <a:accent3>
      <a:srgbClr val="A7EA52"/>
    </a:accent3>
    <a:accent4>
      <a:srgbClr val="5DCEAF"/>
    </a:accent4>
    <a:accent5>
      <a:srgbClr val="FF8021"/>
    </a:accent5>
    <a:accent6>
      <a:srgbClr val="F14124"/>
    </a:accent6>
    <a:hlink>
      <a:srgbClr val="56C7AA"/>
    </a:hlink>
    <a:folHlink>
      <a:srgbClr val="59A8D1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greenncap.com/wp-content/uploads/Green-NCAP-Life-Cycle-Assessment-Methodology-and-Data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greenncap.com/wp-content/uploads/Green-NCAP-Life-Cycle-Assessment-Methodology-and-Data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limate.ec.europa.eu/system/files/2020-09/2020_study_main_report_en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C7D9-1D38-4153-B968-646417364FB8}">
  <dimension ref="B2:I13"/>
  <sheetViews>
    <sheetView workbookViewId="0">
      <selection activeCell="E16" sqref="E16"/>
    </sheetView>
  </sheetViews>
  <sheetFormatPr defaultRowHeight="15" x14ac:dyDescent="0.25"/>
  <cols>
    <col min="2" max="2" width="19.42578125" bestFit="1" customWidth="1"/>
  </cols>
  <sheetData>
    <row r="2" spans="2:9" x14ac:dyDescent="0.25">
      <c r="B2" s="50" t="s">
        <v>148</v>
      </c>
      <c r="C2" s="51" t="s">
        <v>149</v>
      </c>
      <c r="D2" s="51"/>
      <c r="E2" s="51"/>
      <c r="F2" s="51"/>
      <c r="G2" s="51"/>
      <c r="H2" s="51"/>
      <c r="I2" s="51"/>
    </row>
    <row r="3" spans="2:9" x14ac:dyDescent="0.25">
      <c r="B3" s="49" t="s">
        <v>138</v>
      </c>
      <c r="C3" t="s">
        <v>139</v>
      </c>
    </row>
    <row r="4" spans="2:9" x14ac:dyDescent="0.25">
      <c r="B4" s="49" t="s">
        <v>150</v>
      </c>
      <c r="C4" t="s">
        <v>151</v>
      </c>
    </row>
    <row r="5" spans="2:9" x14ac:dyDescent="0.25">
      <c r="B5" s="49" t="s">
        <v>140</v>
      </c>
      <c r="C5" t="s">
        <v>141</v>
      </c>
    </row>
    <row r="6" spans="2:9" x14ac:dyDescent="0.25">
      <c r="B6" s="49" t="s">
        <v>142</v>
      </c>
      <c r="C6" t="s">
        <v>143</v>
      </c>
    </row>
    <row r="7" spans="2:9" x14ac:dyDescent="0.25">
      <c r="B7" s="49" t="s">
        <v>144</v>
      </c>
      <c r="C7" t="s">
        <v>145</v>
      </c>
    </row>
    <row r="8" spans="2:9" x14ac:dyDescent="0.25">
      <c r="B8" s="49" t="s">
        <v>146</v>
      </c>
      <c r="C8" t="s">
        <v>147</v>
      </c>
    </row>
    <row r="9" spans="2:9" x14ac:dyDescent="0.25">
      <c r="B9" s="49"/>
    </row>
    <row r="10" spans="2:9" x14ac:dyDescent="0.25">
      <c r="B10" s="49"/>
    </row>
    <row r="12" spans="2:9" x14ac:dyDescent="0.25">
      <c r="B12" s="49"/>
    </row>
    <row r="13" spans="2:9" x14ac:dyDescent="0.25">
      <c r="B13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69CA-78B6-4A3C-BAAA-DE9D870D6D41}">
  <sheetPr>
    <tabColor theme="9"/>
  </sheetPr>
  <dimension ref="B1:AM176"/>
  <sheetViews>
    <sheetView tabSelected="1" topLeftCell="B163" zoomScale="89" zoomScaleNormal="85" workbookViewId="0">
      <selection activeCell="F189" sqref="F189"/>
    </sheetView>
  </sheetViews>
  <sheetFormatPr defaultRowHeight="11.25" x14ac:dyDescent="0.2"/>
  <cols>
    <col min="1" max="1" width="9.140625" style="2"/>
    <col min="2" max="2" width="45.7109375" style="2" bestFit="1" customWidth="1"/>
    <col min="3" max="3" width="9.140625" style="2"/>
    <col min="4" max="4" width="36.5703125" style="2" bestFit="1" customWidth="1"/>
    <col min="5" max="5" width="23.28515625" style="2" bestFit="1" customWidth="1"/>
    <col min="6" max="7" width="6.5703125" style="2" customWidth="1"/>
    <col min="8" max="8" width="6.140625" style="2" customWidth="1"/>
    <col min="9" max="12" width="6" style="2" customWidth="1"/>
    <col min="13" max="26" width="3.7109375" style="2" customWidth="1"/>
    <col min="27" max="28" width="5.7109375" style="2" customWidth="1"/>
    <col min="29" max="37" width="3.7109375" style="2" customWidth="1"/>
    <col min="38" max="16384" width="9.140625" style="2"/>
  </cols>
  <sheetData>
    <row r="1" spans="2:38" ht="12" thickBot="1" x14ac:dyDescent="0.25"/>
    <row r="2" spans="2:38" x14ac:dyDescent="0.2">
      <c r="B2" s="60" t="s">
        <v>152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2"/>
    </row>
    <row r="3" spans="2:38" x14ac:dyDescent="0.2">
      <c r="B3" s="63"/>
      <c r="D3" s="3" t="s">
        <v>9</v>
      </c>
      <c r="E3" s="3" t="s">
        <v>1</v>
      </c>
      <c r="F3" s="3" t="s">
        <v>8</v>
      </c>
      <c r="I3" s="101" t="s">
        <v>163</v>
      </c>
      <c r="J3" s="101"/>
      <c r="K3" s="101"/>
      <c r="L3" s="101"/>
      <c r="M3" s="101"/>
      <c r="AL3" s="64"/>
    </row>
    <row r="4" spans="2:38" ht="15" x14ac:dyDescent="0.25">
      <c r="B4" s="65" t="s">
        <v>57</v>
      </c>
      <c r="D4" s="2" t="s">
        <v>7</v>
      </c>
      <c r="E4" s="2" t="s">
        <v>2</v>
      </c>
      <c r="F4" s="27">
        <v>250000</v>
      </c>
      <c r="I4" s="104">
        <v>1</v>
      </c>
      <c r="J4" s="102" t="s">
        <v>162</v>
      </c>
      <c r="K4" s="103"/>
      <c r="L4" s="101"/>
      <c r="M4" s="101"/>
      <c r="AL4" s="64"/>
    </row>
    <row r="5" spans="2:38" ht="12" thickBot="1" x14ac:dyDescent="0.25">
      <c r="B5" s="63"/>
      <c r="D5" s="2" t="s">
        <v>53</v>
      </c>
      <c r="E5" s="2" t="s">
        <v>54</v>
      </c>
      <c r="F5" s="28">
        <v>15000</v>
      </c>
      <c r="I5" s="104">
        <v>2</v>
      </c>
      <c r="J5" s="102" t="s">
        <v>164</v>
      </c>
      <c r="K5" s="101"/>
      <c r="L5" s="101"/>
      <c r="M5" s="101"/>
      <c r="AL5" s="64"/>
    </row>
    <row r="6" spans="2:38" ht="12" thickBot="1" x14ac:dyDescent="0.25">
      <c r="B6" s="63"/>
      <c r="D6" s="2" t="s">
        <v>7</v>
      </c>
      <c r="E6" s="2" t="s">
        <v>55</v>
      </c>
      <c r="F6" s="78"/>
      <c r="G6" s="104">
        <v>1</v>
      </c>
      <c r="I6" s="104">
        <v>3</v>
      </c>
      <c r="J6" s="102" t="s">
        <v>165</v>
      </c>
      <c r="K6" s="101"/>
      <c r="L6" s="101"/>
      <c r="M6" s="101"/>
      <c r="AL6" s="64"/>
    </row>
    <row r="7" spans="2:38" x14ac:dyDescent="0.2">
      <c r="B7" s="63"/>
      <c r="D7" s="2" t="s">
        <v>96</v>
      </c>
      <c r="E7" s="2" t="s">
        <v>10</v>
      </c>
      <c r="F7" s="28">
        <v>6</v>
      </c>
      <c r="I7" s="104">
        <v>4</v>
      </c>
      <c r="J7" s="102" t="s">
        <v>166</v>
      </c>
      <c r="K7" s="101"/>
      <c r="L7" s="101"/>
      <c r="M7" s="101"/>
      <c r="AL7" s="64"/>
    </row>
    <row r="8" spans="2:38" x14ac:dyDescent="0.2">
      <c r="B8" s="63"/>
      <c r="D8" s="2" t="s">
        <v>97</v>
      </c>
      <c r="E8" s="2" t="s">
        <v>98</v>
      </c>
      <c r="F8" s="29">
        <v>18</v>
      </c>
      <c r="I8" s="105">
        <v>5</v>
      </c>
      <c r="J8" s="101" t="s">
        <v>167</v>
      </c>
      <c r="K8" s="101"/>
      <c r="L8" s="101"/>
      <c r="M8" s="101"/>
      <c r="AL8" s="64"/>
    </row>
    <row r="9" spans="2:38" x14ac:dyDescent="0.2">
      <c r="B9" s="63"/>
      <c r="D9" s="2" t="s">
        <v>153</v>
      </c>
      <c r="E9" s="2" t="s">
        <v>99</v>
      </c>
      <c r="F9" s="30">
        <v>0.1</v>
      </c>
      <c r="AL9" s="64"/>
    </row>
    <row r="10" spans="2:38" x14ac:dyDescent="0.2">
      <c r="B10" s="63"/>
      <c r="D10" s="2" t="s">
        <v>56</v>
      </c>
      <c r="E10" s="2" t="s">
        <v>18</v>
      </c>
      <c r="F10" s="28">
        <v>1700</v>
      </c>
      <c r="AL10" s="64"/>
    </row>
    <row r="11" spans="2:38" x14ac:dyDescent="0.2">
      <c r="B11" s="63"/>
      <c r="D11" s="2" t="s">
        <v>59</v>
      </c>
      <c r="E11" s="2" t="s">
        <v>18</v>
      </c>
      <c r="F11" s="28">
        <v>1600</v>
      </c>
      <c r="AL11" s="64"/>
    </row>
    <row r="12" spans="2:38" x14ac:dyDescent="0.2">
      <c r="B12" s="63"/>
      <c r="D12" s="2" t="s">
        <v>100</v>
      </c>
      <c r="E12" s="2" t="s">
        <v>95</v>
      </c>
      <c r="F12" s="28">
        <v>60</v>
      </c>
      <c r="AL12" s="64"/>
    </row>
    <row r="13" spans="2:38" x14ac:dyDescent="0.2">
      <c r="B13" s="63"/>
      <c r="D13" s="2" t="s">
        <v>52</v>
      </c>
      <c r="E13" s="2" t="s">
        <v>15</v>
      </c>
      <c r="F13" s="31">
        <v>100</v>
      </c>
      <c r="AL13" s="64"/>
    </row>
    <row r="14" spans="2:38" x14ac:dyDescent="0.2">
      <c r="B14" s="63"/>
      <c r="AL14" s="64"/>
    </row>
    <row r="15" spans="2:38" ht="12.75" x14ac:dyDescent="0.25">
      <c r="B15" s="65" t="s">
        <v>58</v>
      </c>
      <c r="D15" s="2" t="s">
        <v>20</v>
      </c>
      <c r="F15" s="27" t="s">
        <v>60</v>
      </c>
      <c r="AL15" s="64"/>
    </row>
    <row r="16" spans="2:38" x14ac:dyDescent="0.2">
      <c r="B16" s="63"/>
      <c r="D16" s="2" t="s">
        <v>21</v>
      </c>
      <c r="E16" s="2" t="s">
        <v>22</v>
      </c>
      <c r="F16" s="28">
        <v>12</v>
      </c>
      <c r="AL16" s="64"/>
    </row>
    <row r="17" spans="2:38" x14ac:dyDescent="0.2">
      <c r="B17" s="63"/>
      <c r="D17" s="2" t="s">
        <v>23</v>
      </c>
      <c r="E17" s="2" t="s">
        <v>22</v>
      </c>
      <c r="F17" s="28">
        <v>1</v>
      </c>
      <c r="AL17" s="64"/>
    </row>
    <row r="18" spans="2:38" x14ac:dyDescent="0.2">
      <c r="B18" s="63"/>
      <c r="D18" s="2" t="s">
        <v>26</v>
      </c>
      <c r="E18" s="2" t="s">
        <v>22</v>
      </c>
      <c r="F18" s="28">
        <v>16</v>
      </c>
      <c r="AL18" s="64"/>
    </row>
    <row r="19" spans="2:38" ht="12.75" x14ac:dyDescent="0.25">
      <c r="B19" s="63"/>
      <c r="D19" s="2" t="s">
        <v>61</v>
      </c>
      <c r="F19" s="28" t="s">
        <v>62</v>
      </c>
      <c r="AL19" s="64"/>
    </row>
    <row r="20" spans="2:38" x14ac:dyDescent="0.2">
      <c r="B20" s="63"/>
      <c r="D20" s="2" t="s">
        <v>128</v>
      </c>
      <c r="E20" s="2" t="s">
        <v>24</v>
      </c>
      <c r="F20" s="28">
        <v>0.85</v>
      </c>
      <c r="AL20" s="64"/>
    </row>
    <row r="21" spans="2:38" ht="12" thickBot="1" x14ac:dyDescent="0.25">
      <c r="B21" s="63"/>
      <c r="D21" s="2" t="s">
        <v>126</v>
      </c>
      <c r="E21" s="2" t="s">
        <v>127</v>
      </c>
      <c r="F21" s="28">
        <v>42</v>
      </c>
      <c r="AL21" s="64"/>
    </row>
    <row r="22" spans="2:38" ht="13.5" thickBot="1" x14ac:dyDescent="0.3">
      <c r="B22" s="63"/>
      <c r="D22" s="2" t="s">
        <v>25</v>
      </c>
      <c r="E22" s="2" t="s">
        <v>63</v>
      </c>
      <c r="F22" s="79"/>
      <c r="G22" s="104">
        <v>2</v>
      </c>
      <c r="AL22" s="64"/>
    </row>
    <row r="23" spans="2:38" x14ac:dyDescent="0.2">
      <c r="B23" s="63"/>
      <c r="AL23" s="64"/>
    </row>
    <row r="24" spans="2:38" x14ac:dyDescent="0.2">
      <c r="B24" s="63"/>
      <c r="AL24" s="64"/>
    </row>
    <row r="25" spans="2:38" ht="12" thickBot="1" x14ac:dyDescent="0.25"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8"/>
    </row>
    <row r="26" spans="2:38" ht="12" thickBot="1" x14ac:dyDescent="0.25"/>
    <row r="27" spans="2:38" x14ac:dyDescent="0.2">
      <c r="B27" s="60" t="s">
        <v>157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2"/>
    </row>
    <row r="28" spans="2:38" x14ac:dyDescent="0.2">
      <c r="B28" s="63"/>
      <c r="AL28" s="64"/>
    </row>
    <row r="29" spans="2:38" ht="122.25" x14ac:dyDescent="0.2">
      <c r="B29" s="63"/>
      <c r="F29" s="106" t="s">
        <v>3</v>
      </c>
      <c r="G29" s="106" t="s">
        <v>93</v>
      </c>
      <c r="H29" s="4" t="s">
        <v>64</v>
      </c>
      <c r="I29" s="4" t="s">
        <v>94</v>
      </c>
      <c r="J29" s="4" t="s">
        <v>112</v>
      </c>
      <c r="K29" s="4" t="s">
        <v>113</v>
      </c>
      <c r="L29" s="4" t="s">
        <v>4</v>
      </c>
      <c r="M29" s="4" t="s">
        <v>14</v>
      </c>
      <c r="N29" s="4" t="s">
        <v>11</v>
      </c>
      <c r="O29" s="4" t="s">
        <v>65</v>
      </c>
      <c r="P29" s="4" t="s">
        <v>12</v>
      </c>
      <c r="Q29" s="4" t="s">
        <v>66</v>
      </c>
      <c r="R29" s="4" t="s">
        <v>67</v>
      </c>
      <c r="S29" s="4" t="s">
        <v>13</v>
      </c>
      <c r="T29" s="4" t="s">
        <v>68</v>
      </c>
      <c r="U29" s="4" t="s">
        <v>69</v>
      </c>
      <c r="V29" s="4" t="s">
        <v>70</v>
      </c>
      <c r="W29" s="4" t="s">
        <v>71</v>
      </c>
      <c r="X29" s="4" t="s">
        <v>72</v>
      </c>
      <c r="Y29" s="4" t="s">
        <v>73</v>
      </c>
      <c r="Z29" s="4" t="s">
        <v>74</v>
      </c>
      <c r="AA29" s="4" t="s">
        <v>51</v>
      </c>
      <c r="AB29" s="4" t="s">
        <v>50</v>
      </c>
      <c r="AC29" s="4" t="s">
        <v>44</v>
      </c>
      <c r="AD29" s="4" t="s">
        <v>45</v>
      </c>
      <c r="AE29" s="4" t="s">
        <v>46</v>
      </c>
      <c r="AF29" s="4" t="s">
        <v>49</v>
      </c>
      <c r="AG29" s="4" t="s">
        <v>47</v>
      </c>
      <c r="AH29" s="4" t="s">
        <v>48</v>
      </c>
      <c r="AI29" s="4" t="s">
        <v>75</v>
      </c>
      <c r="AJ29" s="4" t="s">
        <v>103</v>
      </c>
      <c r="AK29" s="4" t="s">
        <v>102</v>
      </c>
      <c r="AL29" s="64"/>
    </row>
    <row r="30" spans="2:38" ht="21.75" x14ac:dyDescent="0.2">
      <c r="B30" s="65" t="s">
        <v>156</v>
      </c>
      <c r="D30" s="3" t="s">
        <v>0</v>
      </c>
      <c r="E30" s="3" t="s">
        <v>1</v>
      </c>
      <c r="F30" s="4" t="s">
        <v>2</v>
      </c>
      <c r="G30" s="4" t="s">
        <v>2</v>
      </c>
      <c r="H30" s="4" t="s">
        <v>5</v>
      </c>
      <c r="I30" s="4" t="s">
        <v>5</v>
      </c>
      <c r="J30" s="4" t="s">
        <v>95</v>
      </c>
      <c r="K30" s="4" t="s">
        <v>95</v>
      </c>
      <c r="L30" s="4" t="s">
        <v>6</v>
      </c>
      <c r="M30" s="4" t="s">
        <v>15</v>
      </c>
      <c r="N30" s="4" t="s">
        <v>18</v>
      </c>
      <c r="O30" s="4" t="s">
        <v>18</v>
      </c>
      <c r="P30" s="4" t="s">
        <v>18</v>
      </c>
      <c r="Q30" s="4" t="s">
        <v>18</v>
      </c>
      <c r="R30" s="4" t="s">
        <v>18</v>
      </c>
      <c r="S30" s="4" t="s">
        <v>18</v>
      </c>
      <c r="T30" s="4" t="s">
        <v>18</v>
      </c>
      <c r="U30" s="4" t="s">
        <v>18</v>
      </c>
      <c r="V30" s="4" t="s">
        <v>18</v>
      </c>
      <c r="W30" s="4" t="s">
        <v>18</v>
      </c>
      <c r="X30" s="4" t="s">
        <v>18</v>
      </c>
      <c r="Y30" s="4" t="s">
        <v>18</v>
      </c>
      <c r="Z30" s="4" t="s">
        <v>18</v>
      </c>
      <c r="AA30" s="4" t="s">
        <v>95</v>
      </c>
      <c r="AB30" s="4" t="s">
        <v>95</v>
      </c>
      <c r="AC30" s="4" t="s">
        <v>95</v>
      </c>
      <c r="AD30" s="4" t="s">
        <v>95</v>
      </c>
      <c r="AE30" s="4" t="s">
        <v>95</v>
      </c>
      <c r="AF30" s="4" t="s">
        <v>95</v>
      </c>
      <c r="AG30" s="4" t="s">
        <v>95</v>
      </c>
      <c r="AH30" s="4" t="s">
        <v>95</v>
      </c>
      <c r="AI30" s="4" t="s">
        <v>95</v>
      </c>
      <c r="AJ30" s="4" t="s">
        <v>111</v>
      </c>
      <c r="AK30" s="4" t="s">
        <v>111</v>
      </c>
      <c r="AL30" s="64"/>
    </row>
    <row r="31" spans="2:38" x14ac:dyDescent="0.2">
      <c r="B31" s="63"/>
      <c r="D31" s="3" t="s">
        <v>3</v>
      </c>
      <c r="E31" s="2" t="s">
        <v>2</v>
      </c>
      <c r="F31" s="10">
        <v>0</v>
      </c>
      <c r="G31" s="12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2">
        <v>0</v>
      </c>
      <c r="AL31" s="64"/>
    </row>
    <row r="32" spans="2:38" x14ac:dyDescent="0.2">
      <c r="B32" s="63"/>
      <c r="D32" s="3" t="s">
        <v>93</v>
      </c>
      <c r="E32" s="2" t="s">
        <v>2</v>
      </c>
      <c r="F32" s="13">
        <v>0</v>
      </c>
      <c r="G32" s="14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14">
        <v>0</v>
      </c>
      <c r="AL32" s="64"/>
    </row>
    <row r="33" spans="2:38" x14ac:dyDescent="0.2">
      <c r="B33" s="63"/>
      <c r="D33" s="2" t="s">
        <v>64</v>
      </c>
      <c r="E33" s="2" t="s">
        <v>5</v>
      </c>
      <c r="F33" s="20">
        <f>1/$F$4</f>
        <v>3.9999999999999998E-6</v>
      </c>
      <c r="G33" s="14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14">
        <v>0</v>
      </c>
      <c r="AL33" s="64"/>
    </row>
    <row r="34" spans="2:38" x14ac:dyDescent="0.2">
      <c r="B34" s="63"/>
      <c r="D34" s="2" t="s">
        <v>94</v>
      </c>
      <c r="E34" s="2" t="s">
        <v>5</v>
      </c>
      <c r="F34" s="13">
        <v>0</v>
      </c>
      <c r="G34" s="48">
        <f>1/$F$4</f>
        <v>3.9999999999999998E-6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14">
        <v>0</v>
      </c>
      <c r="AL34" s="64"/>
    </row>
    <row r="35" spans="2:38" x14ac:dyDescent="0.2">
      <c r="B35" s="63"/>
      <c r="D35" s="2" t="s">
        <v>112</v>
      </c>
      <c r="E35" s="2" t="s">
        <v>95</v>
      </c>
      <c r="F35" s="13">
        <v>0</v>
      </c>
      <c r="G35" s="48">
        <f t="array" ref="G35">F12/F4</f>
        <v>2.4000000000000001E-4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14">
        <v>0</v>
      </c>
      <c r="AL35" s="64"/>
    </row>
    <row r="36" spans="2:38" x14ac:dyDescent="0.2">
      <c r="B36" s="63"/>
      <c r="D36" s="2" t="s">
        <v>113</v>
      </c>
      <c r="E36" s="2" t="s">
        <v>95</v>
      </c>
      <c r="F36" s="13">
        <v>0</v>
      </c>
      <c r="G36" s="48">
        <f>F12/F4</f>
        <v>2.4000000000000001E-4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14">
        <v>0</v>
      </c>
      <c r="AL36" s="64"/>
    </row>
    <row r="37" spans="2:38" x14ac:dyDescent="0.2">
      <c r="B37" s="63"/>
      <c r="D37" s="2" t="s">
        <v>4</v>
      </c>
      <c r="E37" s="2" t="s">
        <v>6</v>
      </c>
      <c r="F37" s="20">
        <f>F7/100</f>
        <v>0.06</v>
      </c>
      <c r="G37" s="14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14">
        <v>0</v>
      </c>
      <c r="AL37" s="64"/>
    </row>
    <row r="38" spans="2:38" ht="12" thickBot="1" x14ac:dyDescent="0.25">
      <c r="B38" s="63"/>
      <c r="D38" s="2" t="s">
        <v>14</v>
      </c>
      <c r="E38" s="2" t="s">
        <v>15</v>
      </c>
      <c r="F38" s="20" t="e">
        <f>1/(F6*F13)</f>
        <v>#DIV/0!</v>
      </c>
      <c r="G38" s="14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14">
        <v>0</v>
      </c>
      <c r="AL38" s="64"/>
    </row>
    <row r="39" spans="2:38" x14ac:dyDescent="0.2">
      <c r="B39" s="63"/>
      <c r="D39" s="2" t="s">
        <v>11</v>
      </c>
      <c r="E39" s="2" t="s">
        <v>18</v>
      </c>
      <c r="F39" s="13">
        <v>0</v>
      </c>
      <c r="G39" s="2">
        <v>0</v>
      </c>
      <c r="H39" s="80"/>
      <c r="I39" s="81"/>
      <c r="J39" s="15">
        <v>0.1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14">
        <v>0</v>
      </c>
      <c r="AL39" s="64"/>
    </row>
    <row r="40" spans="2:38" x14ac:dyDescent="0.2">
      <c r="B40" s="63"/>
      <c r="D40" s="2" t="s">
        <v>65</v>
      </c>
      <c r="E40" s="2" t="s">
        <v>18</v>
      </c>
      <c r="F40" s="13">
        <v>0</v>
      </c>
      <c r="G40" s="2">
        <v>0</v>
      </c>
      <c r="H40" s="82"/>
      <c r="I40" s="83"/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14">
        <v>0</v>
      </c>
      <c r="AL40" s="64"/>
    </row>
    <row r="41" spans="2:38" x14ac:dyDescent="0.2">
      <c r="B41" s="63"/>
      <c r="D41" s="2" t="s">
        <v>12</v>
      </c>
      <c r="E41" s="2" t="s">
        <v>18</v>
      </c>
      <c r="F41" s="13">
        <v>0</v>
      </c>
      <c r="G41" s="2">
        <v>0</v>
      </c>
      <c r="H41" s="82"/>
      <c r="I41" s="83"/>
      <c r="J41" s="15">
        <v>0.1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14">
        <v>0</v>
      </c>
      <c r="AL41" s="64"/>
    </row>
    <row r="42" spans="2:38" x14ac:dyDescent="0.2">
      <c r="B42" s="63"/>
      <c r="D42" s="2" t="s">
        <v>66</v>
      </c>
      <c r="E42" s="2" t="s">
        <v>18</v>
      </c>
      <c r="F42" s="13">
        <v>0</v>
      </c>
      <c r="G42" s="2">
        <v>0</v>
      </c>
      <c r="H42" s="82"/>
      <c r="I42" s="83"/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14">
        <v>0</v>
      </c>
      <c r="AL42" s="64"/>
    </row>
    <row r="43" spans="2:38" x14ac:dyDescent="0.2">
      <c r="B43" s="63"/>
      <c r="D43" s="2" t="s">
        <v>67</v>
      </c>
      <c r="E43" s="2" t="s">
        <v>18</v>
      </c>
      <c r="F43" s="13">
        <v>0</v>
      </c>
      <c r="G43" s="2">
        <v>0</v>
      </c>
      <c r="H43" s="82"/>
      <c r="I43" s="83"/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14">
        <v>0</v>
      </c>
      <c r="AL43" s="64"/>
    </row>
    <row r="44" spans="2:38" x14ac:dyDescent="0.2">
      <c r="B44" s="63"/>
      <c r="D44" s="2" t="s">
        <v>13</v>
      </c>
      <c r="E44" s="2" t="s">
        <v>18</v>
      </c>
      <c r="F44" s="13">
        <v>0</v>
      </c>
      <c r="G44" s="2">
        <v>0</v>
      </c>
      <c r="H44" s="82"/>
      <c r="I44" s="83"/>
      <c r="J44" s="15">
        <v>0.1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14">
        <v>0</v>
      </c>
      <c r="AL44" s="64"/>
    </row>
    <row r="45" spans="2:38" x14ac:dyDescent="0.2">
      <c r="B45" s="63"/>
      <c r="D45" s="2" t="s">
        <v>68</v>
      </c>
      <c r="E45" s="2" t="s">
        <v>18</v>
      </c>
      <c r="F45" s="13">
        <v>0</v>
      </c>
      <c r="G45" s="2">
        <v>0</v>
      </c>
      <c r="H45" s="82"/>
      <c r="I45" s="83"/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14">
        <v>0</v>
      </c>
      <c r="AL45" s="64"/>
    </row>
    <row r="46" spans="2:38" x14ac:dyDescent="0.2">
      <c r="B46" s="63"/>
      <c r="D46" s="2" t="s">
        <v>69</v>
      </c>
      <c r="E46" s="2" t="s">
        <v>18</v>
      </c>
      <c r="F46" s="13">
        <v>0</v>
      </c>
      <c r="G46" s="2">
        <v>0</v>
      </c>
      <c r="H46" s="82"/>
      <c r="I46" s="83"/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14">
        <v>0</v>
      </c>
      <c r="AL46" s="64"/>
    </row>
    <row r="47" spans="2:38" x14ac:dyDescent="0.2">
      <c r="B47" s="63"/>
      <c r="D47" s="2" t="s">
        <v>70</v>
      </c>
      <c r="E47" s="2" t="s">
        <v>18</v>
      </c>
      <c r="F47" s="13">
        <v>0</v>
      </c>
      <c r="G47" s="2">
        <v>0</v>
      </c>
      <c r="H47" s="82"/>
      <c r="I47" s="83"/>
      <c r="J47" s="15">
        <v>0.5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14">
        <v>0</v>
      </c>
      <c r="AL47" s="64"/>
    </row>
    <row r="48" spans="2:38" x14ac:dyDescent="0.2">
      <c r="B48" s="63"/>
      <c r="D48" s="2" t="s">
        <v>71</v>
      </c>
      <c r="E48" s="2" t="s">
        <v>18</v>
      </c>
      <c r="F48" s="13">
        <v>0</v>
      </c>
      <c r="G48" s="2">
        <v>0</v>
      </c>
      <c r="H48" s="82"/>
      <c r="I48" s="83"/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14">
        <v>0</v>
      </c>
      <c r="AL48" s="64"/>
    </row>
    <row r="49" spans="2:38" x14ac:dyDescent="0.2">
      <c r="B49" s="63"/>
      <c r="D49" s="2" t="s">
        <v>72</v>
      </c>
      <c r="E49" s="2" t="s">
        <v>18</v>
      </c>
      <c r="F49" s="13">
        <v>0</v>
      </c>
      <c r="G49" s="2">
        <v>0</v>
      </c>
      <c r="H49" s="82"/>
      <c r="I49" s="83"/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14">
        <v>0</v>
      </c>
      <c r="AL49" s="64"/>
    </row>
    <row r="50" spans="2:38" x14ac:dyDescent="0.2">
      <c r="B50" s="63"/>
      <c r="D50" s="2" t="s">
        <v>73</v>
      </c>
      <c r="E50" s="2" t="s">
        <v>18</v>
      </c>
      <c r="F50" s="13">
        <v>0</v>
      </c>
      <c r="G50" s="2">
        <v>0</v>
      </c>
      <c r="H50" s="82"/>
      <c r="I50" s="83"/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14">
        <v>0</v>
      </c>
      <c r="AL50" s="64"/>
    </row>
    <row r="51" spans="2:38" ht="12" thickBot="1" x14ac:dyDescent="0.25">
      <c r="B51" s="63"/>
      <c r="D51" s="2" t="s">
        <v>74</v>
      </c>
      <c r="E51" s="2" t="s">
        <v>18</v>
      </c>
      <c r="F51" s="13">
        <v>0</v>
      </c>
      <c r="G51" s="2">
        <v>0</v>
      </c>
      <c r="H51" s="84"/>
      <c r="I51" s="85"/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14">
        <v>0</v>
      </c>
      <c r="AL51" s="64"/>
    </row>
    <row r="52" spans="2:38" x14ac:dyDescent="0.2">
      <c r="B52" s="63"/>
      <c r="D52" s="2" t="s">
        <v>51</v>
      </c>
      <c r="E52" s="2" t="s">
        <v>95</v>
      </c>
      <c r="F52" s="13">
        <v>0</v>
      </c>
      <c r="G52" s="32">
        <f>$F$8/100/(1-$F$9)</f>
        <v>0.19999999999999998</v>
      </c>
      <c r="H52" s="15">
        <v>1060</v>
      </c>
      <c r="I52" s="15">
        <v>1060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14">
        <v>0</v>
      </c>
      <c r="AL52" s="64"/>
    </row>
    <row r="53" spans="2:38" ht="12" thickBot="1" x14ac:dyDescent="0.25">
      <c r="B53" s="63"/>
      <c r="D53" s="2" t="s">
        <v>50</v>
      </c>
      <c r="E53" s="2" t="s">
        <v>95</v>
      </c>
      <c r="F53" s="13">
        <v>0</v>
      </c>
      <c r="G53" s="3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14">
        <v>0</v>
      </c>
      <c r="AL53" s="64"/>
    </row>
    <row r="54" spans="2:38" x14ac:dyDescent="0.2">
      <c r="B54" s="63"/>
      <c r="D54" s="2" t="s">
        <v>44</v>
      </c>
      <c r="E54" s="2" t="s">
        <v>95</v>
      </c>
      <c r="F54" s="13">
        <v>0</v>
      </c>
      <c r="G54" s="14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86"/>
      <c r="AB54" s="87"/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14">
        <v>0</v>
      </c>
      <c r="AL54" s="64"/>
    </row>
    <row r="55" spans="2:38" x14ac:dyDescent="0.2">
      <c r="B55" s="63"/>
      <c r="D55" s="2" t="s">
        <v>45</v>
      </c>
      <c r="E55" s="2" t="s">
        <v>95</v>
      </c>
      <c r="F55" s="13">
        <v>0</v>
      </c>
      <c r="G55" s="14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88"/>
      <c r="AB55" s="89"/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14">
        <v>0</v>
      </c>
      <c r="AL55" s="64"/>
    </row>
    <row r="56" spans="2:38" x14ac:dyDescent="0.2">
      <c r="B56" s="63"/>
      <c r="D56" s="2" t="s">
        <v>46</v>
      </c>
      <c r="E56" s="2" t="s">
        <v>95</v>
      </c>
      <c r="F56" s="13">
        <v>0</v>
      </c>
      <c r="G56" s="14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88"/>
      <c r="AB56" s="89"/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14">
        <v>0</v>
      </c>
      <c r="AL56" s="64"/>
    </row>
    <row r="57" spans="2:38" x14ac:dyDescent="0.2">
      <c r="B57" s="63"/>
      <c r="D57" s="2" t="s">
        <v>49</v>
      </c>
      <c r="E57" s="2" t="s">
        <v>95</v>
      </c>
      <c r="F57" s="13">
        <v>0</v>
      </c>
      <c r="G57" s="14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88"/>
      <c r="AB57" s="89"/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14">
        <v>0</v>
      </c>
      <c r="AL57" s="64"/>
    </row>
    <row r="58" spans="2:38" x14ac:dyDescent="0.2">
      <c r="B58" s="63"/>
      <c r="D58" s="2" t="s">
        <v>47</v>
      </c>
      <c r="E58" s="2" t="s">
        <v>95</v>
      </c>
      <c r="F58" s="13">
        <v>0</v>
      </c>
      <c r="G58" s="14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88"/>
      <c r="AB58" s="89"/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14">
        <v>0</v>
      </c>
      <c r="AL58" s="64"/>
    </row>
    <row r="59" spans="2:38" x14ac:dyDescent="0.2">
      <c r="B59" s="63"/>
      <c r="D59" s="2" t="s">
        <v>48</v>
      </c>
      <c r="E59" s="2" t="s">
        <v>95</v>
      </c>
      <c r="F59" s="13">
        <v>0</v>
      </c>
      <c r="G59" s="14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88"/>
      <c r="AB59" s="89"/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14">
        <v>0</v>
      </c>
      <c r="AL59" s="64"/>
    </row>
    <row r="60" spans="2:38" ht="12" thickBot="1" x14ac:dyDescent="0.25">
      <c r="B60" s="63"/>
      <c r="D60" s="2" t="s">
        <v>75</v>
      </c>
      <c r="E60" s="2" t="s">
        <v>95</v>
      </c>
      <c r="F60" s="13">
        <v>0</v>
      </c>
      <c r="G60" s="14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90"/>
      <c r="AB60" s="91"/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14">
        <v>0</v>
      </c>
      <c r="AL60" s="64"/>
    </row>
    <row r="61" spans="2:38" x14ac:dyDescent="0.2">
      <c r="B61" s="63"/>
      <c r="D61" s="2" t="s">
        <v>103</v>
      </c>
      <c r="E61" s="2" t="s">
        <v>111</v>
      </c>
      <c r="F61" s="13">
        <v>0</v>
      </c>
      <c r="G61" s="14">
        <v>0</v>
      </c>
      <c r="H61" s="15">
        <f>420*3.6</f>
        <v>1512</v>
      </c>
      <c r="I61" s="15">
        <f>420*3.6</f>
        <v>1512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14">
        <v>0</v>
      </c>
      <c r="AL61" s="64"/>
    </row>
    <row r="62" spans="2:38" x14ac:dyDescent="0.2">
      <c r="B62" s="63"/>
      <c r="D62" s="2" t="s">
        <v>102</v>
      </c>
      <c r="E62" s="2" t="s">
        <v>111</v>
      </c>
      <c r="F62" s="16">
        <v>0</v>
      </c>
      <c r="G62" s="18">
        <v>0</v>
      </c>
      <c r="H62" s="19">
        <f>590*3.6</f>
        <v>2124</v>
      </c>
      <c r="I62" s="19">
        <f>590*3.6</f>
        <v>2124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  <c r="AL62" s="64"/>
    </row>
    <row r="63" spans="2:38" x14ac:dyDescent="0.2">
      <c r="B63" s="63"/>
      <c r="AL63" s="64"/>
    </row>
    <row r="64" spans="2:38" x14ac:dyDescent="0.2">
      <c r="B64" s="63"/>
      <c r="AL64" s="64"/>
    </row>
    <row r="65" spans="2:39" x14ac:dyDescent="0.2">
      <c r="B65" s="65" t="s">
        <v>155</v>
      </c>
      <c r="D65" s="3" t="s">
        <v>16</v>
      </c>
      <c r="E65" s="3" t="s">
        <v>1</v>
      </c>
      <c r="AL65" s="64"/>
    </row>
    <row r="66" spans="2:39" x14ac:dyDescent="0.2">
      <c r="B66" s="63"/>
      <c r="D66" s="2" t="s">
        <v>17</v>
      </c>
      <c r="E66" s="2" t="s">
        <v>18</v>
      </c>
      <c r="F66" s="24">
        <f>F22*F7/100</f>
        <v>0</v>
      </c>
      <c r="G66" s="11">
        <v>0</v>
      </c>
      <c r="H66" s="11">
        <v>0</v>
      </c>
      <c r="I66" s="11">
        <v>0</v>
      </c>
      <c r="J66" s="25">
        <f t="array" ref="J66:J68">TRANSPOSE('Production batterie'!B4:D4)*AM66:AM68</f>
        <v>67</v>
      </c>
      <c r="K66" s="25">
        <f t="array" ref="K66:K68">TRANSPOSE('Production batterie'!B8:D8)*AM66:AM68</f>
        <v>-7</v>
      </c>
      <c r="L66" s="25">
        <v>0.59</v>
      </c>
      <c r="M66" s="25">
        <v>1</v>
      </c>
      <c r="N66" s="25">
        <f t="array" ref="N66:Z66">TRANSPOSE('Composition voiture'!D3:D15)/1000</f>
        <v>2.4700000000000002</v>
      </c>
      <c r="O66" s="25">
        <v>0.9</v>
      </c>
      <c r="P66" s="25">
        <v>12.05</v>
      </c>
      <c r="Q66" s="25">
        <v>1.1299999999999999</v>
      </c>
      <c r="R66" s="25">
        <v>5.68</v>
      </c>
      <c r="S66" s="25">
        <v>3.61</v>
      </c>
      <c r="T66" s="25">
        <v>3.3</v>
      </c>
      <c r="U66" s="25">
        <v>4.2</v>
      </c>
      <c r="V66" s="25">
        <v>3.61</v>
      </c>
      <c r="W66" s="25">
        <v>7.67</v>
      </c>
      <c r="X66" s="25">
        <v>36.630000000000003</v>
      </c>
      <c r="Y66" s="25">
        <v>24.25</v>
      </c>
      <c r="Z66" s="25">
        <v>18.940000000000001</v>
      </c>
      <c r="AA66" s="11">
        <v>0</v>
      </c>
      <c r="AB66" s="11">
        <v>0</v>
      </c>
      <c r="AC66" s="25">
        <v>6.0000000000000001E-3</v>
      </c>
      <c r="AD66" s="25">
        <v>1.2E-2</v>
      </c>
      <c r="AE66" s="25">
        <v>3.5000000000000003E-2</v>
      </c>
      <c r="AF66" s="25">
        <v>8.0000000000000002E-3</v>
      </c>
      <c r="AG66" s="25">
        <v>1.05</v>
      </c>
      <c r="AH66" s="25">
        <v>1.1499999999999999</v>
      </c>
      <c r="AI66" s="25">
        <v>0.37</v>
      </c>
      <c r="AJ66" s="11">
        <v>0</v>
      </c>
      <c r="AK66" s="12">
        <v>0</v>
      </c>
      <c r="AL66" s="64"/>
      <c r="AM66" s="2">
        <v>1</v>
      </c>
    </row>
    <row r="67" spans="2:39" x14ac:dyDescent="0.2">
      <c r="B67" s="63"/>
      <c r="D67" s="2" t="s">
        <v>101</v>
      </c>
      <c r="E67" s="2" t="s">
        <v>18</v>
      </c>
      <c r="F67" s="13">
        <v>0</v>
      </c>
      <c r="G67" s="2">
        <v>0</v>
      </c>
      <c r="H67" s="2">
        <v>0</v>
      </c>
      <c r="I67" s="2">
        <v>0</v>
      </c>
      <c r="J67" s="15">
        <v>0.18</v>
      </c>
      <c r="K67" s="15">
        <v>-0.01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15">
        <v>0.04</v>
      </c>
      <c r="AJ67" s="2">
        <v>0</v>
      </c>
      <c r="AK67" s="14">
        <v>0</v>
      </c>
      <c r="AL67" s="64"/>
      <c r="AM67" s="2">
        <v>1</v>
      </c>
    </row>
    <row r="68" spans="2:39" x14ac:dyDescent="0.2">
      <c r="B68" s="63"/>
      <c r="D68" s="2" t="s">
        <v>109</v>
      </c>
      <c r="E68" s="2" t="s">
        <v>111</v>
      </c>
      <c r="F68" s="20">
        <v>0</v>
      </c>
      <c r="G68" s="2">
        <v>0</v>
      </c>
      <c r="H68" s="2">
        <v>0</v>
      </c>
      <c r="I68" s="2">
        <v>0</v>
      </c>
      <c r="J68" s="15">
        <v>1393.2</v>
      </c>
      <c r="K68" s="15">
        <v>-223.20000000000002</v>
      </c>
      <c r="L68" s="70">
        <f>F21*1.18</f>
        <v>49.559999999999995</v>
      </c>
      <c r="M68" s="2">
        <v>0</v>
      </c>
      <c r="N68" s="15">
        <f t="array" ref="N68:Z68">TRANSPOSE('Composition voiture'!E3:E15)*3.6</f>
        <v>32.04</v>
      </c>
      <c r="O68" s="15">
        <v>12.6</v>
      </c>
      <c r="P68" s="15">
        <v>191.52</v>
      </c>
      <c r="Q68" s="15">
        <v>11.879999999999999</v>
      </c>
      <c r="R68" s="15">
        <v>100.8</v>
      </c>
      <c r="S68" s="15">
        <v>30.96</v>
      </c>
      <c r="T68" s="15">
        <v>35.64</v>
      </c>
      <c r="U68" s="15">
        <v>47.88</v>
      </c>
      <c r="V68" s="15">
        <v>42.84</v>
      </c>
      <c r="W68" s="15">
        <v>109.08</v>
      </c>
      <c r="X68" s="15">
        <v>480.24</v>
      </c>
      <c r="Y68" s="15">
        <v>270.72000000000003</v>
      </c>
      <c r="Z68" s="15">
        <v>324.72000000000003</v>
      </c>
      <c r="AA68" s="2">
        <v>0</v>
      </c>
      <c r="AB68" s="2">
        <v>0</v>
      </c>
      <c r="AC68" s="15">
        <v>0.08</v>
      </c>
      <c r="AD68" s="15">
        <v>0.16</v>
      </c>
      <c r="AE68" s="15">
        <v>0.54</v>
      </c>
      <c r="AF68" s="15">
        <v>0.3</v>
      </c>
      <c r="AG68" s="15">
        <v>11</v>
      </c>
      <c r="AH68" s="15">
        <v>13</v>
      </c>
      <c r="AI68" s="15">
        <v>9</v>
      </c>
      <c r="AJ68" s="2">
        <v>0</v>
      </c>
      <c r="AK68" s="14">
        <v>0</v>
      </c>
      <c r="AL68" s="64"/>
      <c r="AM68" s="2">
        <v>3.6</v>
      </c>
    </row>
    <row r="69" spans="2:39" x14ac:dyDescent="0.2">
      <c r="B69" s="63"/>
      <c r="D69" s="2" t="s">
        <v>119</v>
      </c>
      <c r="E69" s="2" t="s">
        <v>18</v>
      </c>
      <c r="F69" s="20">
        <v>0</v>
      </c>
      <c r="G69" s="2">
        <v>0</v>
      </c>
      <c r="H69" s="2">
        <v>0</v>
      </c>
      <c r="I69" s="2">
        <v>0</v>
      </c>
      <c r="J69" s="15">
        <v>8</v>
      </c>
      <c r="K69" s="15">
        <v>0</v>
      </c>
      <c r="L69" s="2">
        <v>0</v>
      </c>
      <c r="M69" s="2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2">
        <v>0</v>
      </c>
      <c r="AB69" s="2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2">
        <v>0</v>
      </c>
      <c r="AK69" s="14">
        <v>0</v>
      </c>
      <c r="AL69" s="64"/>
    </row>
    <row r="70" spans="2:39" x14ac:dyDescent="0.2">
      <c r="B70" s="63"/>
      <c r="D70" s="2" t="s">
        <v>38</v>
      </c>
      <c r="E70" s="2" t="s">
        <v>18</v>
      </c>
      <c r="F70" s="20">
        <v>0</v>
      </c>
      <c r="G70" s="2">
        <v>0</v>
      </c>
      <c r="H70" s="2">
        <v>0</v>
      </c>
      <c r="I70" s="2">
        <v>0</v>
      </c>
      <c r="J70" s="15">
        <v>0</v>
      </c>
      <c r="K70" s="15">
        <v>0</v>
      </c>
      <c r="L70" s="2">
        <v>0</v>
      </c>
      <c r="M70" s="2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1</v>
      </c>
      <c r="W70" s="15">
        <v>0</v>
      </c>
      <c r="X70" s="15">
        <v>0</v>
      </c>
      <c r="Y70" s="15">
        <v>0</v>
      </c>
      <c r="Z70" s="15">
        <v>0</v>
      </c>
      <c r="AA70" s="2">
        <v>0</v>
      </c>
      <c r="AB70" s="2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2">
        <v>0</v>
      </c>
      <c r="AK70" s="14">
        <v>0</v>
      </c>
      <c r="AL70" s="64"/>
    </row>
    <row r="71" spans="2:39" x14ac:dyDescent="0.2">
      <c r="B71" s="63"/>
      <c r="D71" s="2" t="s">
        <v>31</v>
      </c>
      <c r="E71" s="2" t="s">
        <v>18</v>
      </c>
      <c r="F71" s="20">
        <v>0</v>
      </c>
      <c r="G71" s="2">
        <v>0</v>
      </c>
      <c r="H71" s="2">
        <v>0</v>
      </c>
      <c r="I71" s="2">
        <v>0</v>
      </c>
      <c r="J71" s="15">
        <v>0</v>
      </c>
      <c r="K71" s="15">
        <v>0</v>
      </c>
      <c r="L71" s="2">
        <v>0</v>
      </c>
      <c r="M71" s="2">
        <v>0</v>
      </c>
      <c r="N71" s="15">
        <v>1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2">
        <v>0</v>
      </c>
      <c r="AB71" s="2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2">
        <v>0</v>
      </c>
      <c r="AK71" s="14">
        <v>0</v>
      </c>
      <c r="AL71" s="64"/>
    </row>
    <row r="72" spans="2:39" x14ac:dyDescent="0.2">
      <c r="B72" s="63"/>
      <c r="D72" s="2" t="s">
        <v>27</v>
      </c>
      <c r="E72" s="2" t="s">
        <v>18</v>
      </c>
      <c r="F72" s="23">
        <v>0</v>
      </c>
      <c r="G72" s="17">
        <v>0</v>
      </c>
      <c r="H72" s="17">
        <v>0</v>
      </c>
      <c r="I72" s="17">
        <v>0</v>
      </c>
      <c r="J72" s="19">
        <v>0</v>
      </c>
      <c r="K72" s="19">
        <v>0</v>
      </c>
      <c r="L72" s="17">
        <v>0</v>
      </c>
      <c r="M72" s="17">
        <v>0</v>
      </c>
      <c r="N72" s="19">
        <v>0</v>
      </c>
      <c r="O72" s="19">
        <v>1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7">
        <v>0</v>
      </c>
      <c r="AB72" s="17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7">
        <v>0</v>
      </c>
      <c r="AK72" s="18">
        <v>0</v>
      </c>
      <c r="AL72" s="64"/>
    </row>
    <row r="73" spans="2:39" x14ac:dyDescent="0.2">
      <c r="B73" s="63"/>
      <c r="F73" s="15"/>
      <c r="J73" s="15"/>
      <c r="K73" s="15"/>
      <c r="AL73" s="64"/>
    </row>
    <row r="74" spans="2:39" x14ac:dyDescent="0.2">
      <c r="B74" s="65" t="s">
        <v>154</v>
      </c>
      <c r="D74" s="3" t="s">
        <v>125</v>
      </c>
      <c r="F74" s="3" t="s">
        <v>17</v>
      </c>
      <c r="G74" s="3" t="s">
        <v>101</v>
      </c>
      <c r="H74" s="3" t="s">
        <v>109</v>
      </c>
      <c r="I74" s="3" t="s">
        <v>119</v>
      </c>
      <c r="J74" s="3" t="s">
        <v>38</v>
      </c>
      <c r="K74" s="3" t="s">
        <v>31</v>
      </c>
      <c r="L74" s="3" t="s">
        <v>27</v>
      </c>
      <c r="AL74" s="64"/>
    </row>
    <row r="75" spans="2:39" x14ac:dyDescent="0.2">
      <c r="B75" s="63"/>
      <c r="D75" s="2" t="s">
        <v>115</v>
      </c>
      <c r="E75" s="2" t="s">
        <v>117</v>
      </c>
      <c r="F75" s="24">
        <v>1</v>
      </c>
      <c r="G75" s="25">
        <v>28</v>
      </c>
      <c r="H75" s="11">
        <v>0</v>
      </c>
      <c r="I75" s="11">
        <v>0</v>
      </c>
      <c r="J75" s="11">
        <v>0</v>
      </c>
      <c r="K75" s="11">
        <v>0</v>
      </c>
      <c r="L75" s="12">
        <v>0</v>
      </c>
      <c r="AL75" s="64"/>
    </row>
    <row r="76" spans="2:39" x14ac:dyDescent="0.2">
      <c r="B76" s="63"/>
      <c r="D76" s="2" t="s">
        <v>109</v>
      </c>
      <c r="E76" s="2" t="s">
        <v>111</v>
      </c>
      <c r="F76" s="13">
        <v>0</v>
      </c>
      <c r="G76" s="2">
        <v>0</v>
      </c>
      <c r="H76" s="15">
        <v>1</v>
      </c>
      <c r="I76" s="2">
        <v>0</v>
      </c>
      <c r="J76" s="2">
        <v>0</v>
      </c>
      <c r="K76" s="2">
        <v>0</v>
      </c>
      <c r="L76" s="14">
        <v>0</v>
      </c>
      <c r="AL76" s="64"/>
    </row>
    <row r="77" spans="2:39" x14ac:dyDescent="0.2">
      <c r="B77" s="63"/>
      <c r="D77" s="2" t="s">
        <v>120</v>
      </c>
      <c r="E77" s="2" t="s">
        <v>121</v>
      </c>
      <c r="F77" s="16">
        <v>0</v>
      </c>
      <c r="G77" s="17">
        <v>0</v>
      </c>
      <c r="H77" s="17">
        <v>0</v>
      </c>
      <c r="I77" s="46">
        <v>1.15E-5</v>
      </c>
      <c r="J77" s="46">
        <v>1.3699999999999999E-3</v>
      </c>
      <c r="K77" s="46">
        <v>5.2399999999999999E-8</v>
      </c>
      <c r="L77" s="47">
        <v>1.09E-9</v>
      </c>
      <c r="AL77" s="64"/>
    </row>
    <row r="78" spans="2:39" ht="12" thickBot="1" x14ac:dyDescent="0.25">
      <c r="B78" s="66"/>
      <c r="C78" s="71"/>
      <c r="D78" s="67"/>
      <c r="E78" s="67"/>
      <c r="F78" s="67"/>
      <c r="G78" s="72"/>
      <c r="H78" s="67"/>
      <c r="I78" s="72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8"/>
    </row>
    <row r="79" spans="2:39" ht="12" thickBot="1" x14ac:dyDescent="0.25">
      <c r="C79" s="3"/>
      <c r="D79" s="3"/>
      <c r="G79" s="42"/>
      <c r="I79" s="42"/>
    </row>
    <row r="80" spans="2:39" x14ac:dyDescent="0.2">
      <c r="B80" s="60" t="s">
        <v>158</v>
      </c>
      <c r="C80" s="61"/>
      <c r="D80" s="61"/>
      <c r="E80" s="61"/>
      <c r="F80" s="61"/>
      <c r="G80" s="73"/>
      <c r="H80" s="61"/>
      <c r="I80" s="73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2"/>
    </row>
    <row r="81" spans="2:38" x14ac:dyDescent="0.2">
      <c r="B81" s="63"/>
      <c r="G81" s="42"/>
      <c r="I81" s="42"/>
      <c r="AL81" s="64"/>
    </row>
    <row r="82" spans="2:38" x14ac:dyDescent="0.2">
      <c r="B82" s="63"/>
      <c r="C82" s="3"/>
      <c r="D82" s="3"/>
      <c r="G82" s="42"/>
      <c r="I82" s="42"/>
      <c r="AL82" s="64"/>
    </row>
    <row r="83" spans="2:38" x14ac:dyDescent="0.2">
      <c r="B83" s="63"/>
      <c r="C83" s="3"/>
      <c r="D83" s="3" t="s">
        <v>125</v>
      </c>
      <c r="G83" s="42"/>
      <c r="I83" s="42"/>
      <c r="AL83" s="64"/>
    </row>
    <row r="84" spans="2:38" x14ac:dyDescent="0.2">
      <c r="B84" s="65" t="s">
        <v>172</v>
      </c>
      <c r="D84" s="2" t="s">
        <v>115</v>
      </c>
      <c r="E84" s="2" t="s">
        <v>117</v>
      </c>
      <c r="F84" s="24">
        <f t="array" ref="F84:AK86">MMULT($F$75:$L$77,$F$66:$AK$72)</f>
        <v>0</v>
      </c>
      <c r="G84" s="11">
        <v>0</v>
      </c>
      <c r="H84" s="11">
        <v>0</v>
      </c>
      <c r="I84" s="11">
        <v>0</v>
      </c>
      <c r="J84" s="25">
        <v>72.040000000000006</v>
      </c>
      <c r="K84" s="25">
        <v>-7.28</v>
      </c>
      <c r="L84" s="11">
        <v>0.59</v>
      </c>
      <c r="M84" s="11">
        <v>1</v>
      </c>
      <c r="N84" s="25">
        <v>2.4700000000000002</v>
      </c>
      <c r="O84" s="25">
        <v>0.9</v>
      </c>
      <c r="P84" s="25">
        <v>12.05</v>
      </c>
      <c r="Q84" s="25">
        <v>1.1299999999999999</v>
      </c>
      <c r="R84" s="25">
        <v>5.68</v>
      </c>
      <c r="S84" s="25">
        <v>3.61</v>
      </c>
      <c r="T84" s="25">
        <v>3.3</v>
      </c>
      <c r="U84" s="25">
        <v>4.2</v>
      </c>
      <c r="V84" s="25">
        <v>3.61</v>
      </c>
      <c r="W84" s="25">
        <v>7.67</v>
      </c>
      <c r="X84" s="25">
        <v>36.630000000000003</v>
      </c>
      <c r="Y84" s="25">
        <v>24.25</v>
      </c>
      <c r="Z84" s="25">
        <v>18.940000000000001</v>
      </c>
      <c r="AA84" s="11">
        <v>0</v>
      </c>
      <c r="AB84" s="11">
        <v>0</v>
      </c>
      <c r="AC84" s="25">
        <v>6.0000000000000001E-3</v>
      </c>
      <c r="AD84" s="25">
        <v>1.2E-2</v>
      </c>
      <c r="AE84" s="25">
        <v>3.5000000000000003E-2</v>
      </c>
      <c r="AF84" s="25">
        <v>8.0000000000000002E-3</v>
      </c>
      <c r="AG84" s="25">
        <v>1.05</v>
      </c>
      <c r="AH84" s="25">
        <v>1.1499999999999999</v>
      </c>
      <c r="AI84" s="25">
        <v>1.4900000000000002</v>
      </c>
      <c r="AJ84" s="11">
        <v>0</v>
      </c>
      <c r="AK84" s="12">
        <v>0</v>
      </c>
      <c r="AL84" s="64"/>
    </row>
    <row r="85" spans="2:38" x14ac:dyDescent="0.2">
      <c r="B85" s="63"/>
      <c r="D85" s="2" t="s">
        <v>109</v>
      </c>
      <c r="E85" s="2" t="s">
        <v>111</v>
      </c>
      <c r="F85" s="20">
        <v>0</v>
      </c>
      <c r="G85" s="2">
        <v>0</v>
      </c>
      <c r="H85" s="2">
        <v>0</v>
      </c>
      <c r="I85" s="2">
        <v>0</v>
      </c>
      <c r="J85" s="15">
        <v>1393.2</v>
      </c>
      <c r="K85" s="15">
        <v>-223.20000000000002</v>
      </c>
      <c r="L85" s="2">
        <v>49.559999999999995</v>
      </c>
      <c r="M85" s="2">
        <v>0</v>
      </c>
      <c r="N85" s="15">
        <v>32.04</v>
      </c>
      <c r="O85" s="15">
        <v>12.6</v>
      </c>
      <c r="P85" s="15">
        <v>191.52</v>
      </c>
      <c r="Q85" s="15">
        <v>11.879999999999999</v>
      </c>
      <c r="R85" s="15">
        <v>100.8</v>
      </c>
      <c r="S85" s="15">
        <v>30.96</v>
      </c>
      <c r="T85" s="15">
        <v>35.64</v>
      </c>
      <c r="U85" s="15">
        <v>47.88</v>
      </c>
      <c r="V85" s="15">
        <v>42.84</v>
      </c>
      <c r="W85" s="15">
        <v>109.08</v>
      </c>
      <c r="X85" s="15">
        <v>480.24</v>
      </c>
      <c r="Y85" s="15">
        <v>270.72000000000003</v>
      </c>
      <c r="Z85" s="15">
        <v>324.72000000000003</v>
      </c>
      <c r="AA85" s="2">
        <v>0</v>
      </c>
      <c r="AB85" s="2">
        <v>0</v>
      </c>
      <c r="AC85" s="15">
        <v>0.08</v>
      </c>
      <c r="AD85" s="15">
        <v>0.16</v>
      </c>
      <c r="AE85" s="15">
        <v>0.54</v>
      </c>
      <c r="AF85" s="15">
        <v>0.3</v>
      </c>
      <c r="AG85" s="15">
        <v>11</v>
      </c>
      <c r="AH85" s="15">
        <v>13</v>
      </c>
      <c r="AI85" s="15">
        <v>9</v>
      </c>
      <c r="AJ85" s="2">
        <v>0</v>
      </c>
      <c r="AK85" s="14">
        <v>0</v>
      </c>
      <c r="AL85" s="64"/>
    </row>
    <row r="86" spans="2:38" x14ac:dyDescent="0.2">
      <c r="B86" s="63"/>
      <c r="D86" s="2" t="s">
        <v>120</v>
      </c>
      <c r="E86" s="2" t="s">
        <v>121</v>
      </c>
      <c r="F86" s="23">
        <v>0</v>
      </c>
      <c r="G86" s="17">
        <v>0</v>
      </c>
      <c r="H86" s="17">
        <v>0</v>
      </c>
      <c r="I86" s="17">
        <v>0</v>
      </c>
      <c r="J86" s="19">
        <v>9.2E-5</v>
      </c>
      <c r="K86" s="19">
        <v>0</v>
      </c>
      <c r="L86" s="17">
        <v>0</v>
      </c>
      <c r="M86" s="17">
        <v>0</v>
      </c>
      <c r="N86" s="19">
        <v>5.2399999999999999E-8</v>
      </c>
      <c r="O86" s="19">
        <v>1.09E-9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1.3699999999999999E-3</v>
      </c>
      <c r="W86" s="19">
        <v>0</v>
      </c>
      <c r="X86" s="19">
        <v>0</v>
      </c>
      <c r="Y86" s="19">
        <v>0</v>
      </c>
      <c r="Z86" s="19">
        <v>0</v>
      </c>
      <c r="AA86" s="17">
        <v>0</v>
      </c>
      <c r="AB86" s="17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7">
        <v>0</v>
      </c>
      <c r="AK86" s="18">
        <v>0</v>
      </c>
      <c r="AL86" s="64"/>
    </row>
    <row r="87" spans="2:38" x14ac:dyDescent="0.2">
      <c r="B87" s="63"/>
      <c r="AL87" s="64"/>
    </row>
    <row r="88" spans="2:38" hidden="1" x14ac:dyDescent="0.2">
      <c r="B88" s="63"/>
      <c r="AL88" s="64"/>
    </row>
    <row r="89" spans="2:38" hidden="1" x14ac:dyDescent="0.2">
      <c r="B89" s="63"/>
      <c r="AL89" s="64"/>
    </row>
    <row r="90" spans="2:38" hidden="1" x14ac:dyDescent="0.2">
      <c r="B90" s="63"/>
      <c r="AL90" s="64"/>
    </row>
    <row r="91" spans="2:38" hidden="1" x14ac:dyDescent="0.2">
      <c r="B91" s="63"/>
      <c r="AL91" s="64"/>
    </row>
    <row r="92" spans="2:38" hidden="1" x14ac:dyDescent="0.2">
      <c r="B92" s="65" t="s">
        <v>114</v>
      </c>
      <c r="F92" s="10">
        <f t="array" ref="F92:AK123">_xlfn.MUNIT(32)</f>
        <v>1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2">
        <v>0</v>
      </c>
      <c r="AL92" s="64"/>
    </row>
    <row r="93" spans="2:38" hidden="1" x14ac:dyDescent="0.2">
      <c r="B93" s="63"/>
      <c r="F93" s="13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14">
        <v>0</v>
      </c>
      <c r="AL93" s="64"/>
    </row>
    <row r="94" spans="2:38" hidden="1" x14ac:dyDescent="0.2">
      <c r="B94" s="63"/>
      <c r="F94" s="20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14">
        <v>0</v>
      </c>
      <c r="AL94" s="64"/>
    </row>
    <row r="95" spans="2:38" hidden="1" x14ac:dyDescent="0.2">
      <c r="B95" s="63"/>
      <c r="F95" s="13">
        <v>0</v>
      </c>
      <c r="G95" s="15">
        <v>0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14">
        <v>0</v>
      </c>
      <c r="AL95" s="64"/>
    </row>
    <row r="96" spans="2:38" hidden="1" x14ac:dyDescent="0.2">
      <c r="B96" s="63"/>
      <c r="F96" s="13">
        <v>0</v>
      </c>
      <c r="G96" s="15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14">
        <v>0</v>
      </c>
      <c r="AL96" s="64"/>
    </row>
    <row r="97" spans="2:38" hidden="1" x14ac:dyDescent="0.2">
      <c r="B97" s="63"/>
      <c r="F97" s="13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14">
        <v>0</v>
      </c>
      <c r="AL97" s="64"/>
    </row>
    <row r="98" spans="2:38" hidden="1" x14ac:dyDescent="0.2">
      <c r="B98" s="63"/>
      <c r="F98" s="20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14">
        <v>0</v>
      </c>
      <c r="AL98" s="64"/>
    </row>
    <row r="99" spans="2:38" hidden="1" x14ac:dyDescent="0.2">
      <c r="B99" s="63"/>
      <c r="F99" s="20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14">
        <v>0</v>
      </c>
      <c r="AL99" s="64"/>
    </row>
    <row r="100" spans="2:38" hidden="1" x14ac:dyDescent="0.2">
      <c r="B100" s="63"/>
      <c r="F100" s="13">
        <v>0</v>
      </c>
      <c r="G100" s="2">
        <v>0</v>
      </c>
      <c r="H100" s="15">
        <v>0</v>
      </c>
      <c r="I100" s="15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14">
        <v>0</v>
      </c>
      <c r="AL100" s="64"/>
    </row>
    <row r="101" spans="2:38" hidden="1" x14ac:dyDescent="0.2">
      <c r="B101" s="63"/>
      <c r="F101" s="13">
        <v>0</v>
      </c>
      <c r="G101" s="2">
        <v>0</v>
      </c>
      <c r="H101" s="15">
        <v>0</v>
      </c>
      <c r="I101" s="15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14">
        <v>0</v>
      </c>
      <c r="AL101" s="64"/>
    </row>
    <row r="102" spans="2:38" hidden="1" x14ac:dyDescent="0.2">
      <c r="B102" s="63"/>
      <c r="F102" s="13">
        <v>0</v>
      </c>
      <c r="G102" s="2">
        <v>0</v>
      </c>
      <c r="H102" s="15">
        <v>0</v>
      </c>
      <c r="I102" s="15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14">
        <v>0</v>
      </c>
      <c r="AL102" s="64"/>
    </row>
    <row r="103" spans="2:38" hidden="1" x14ac:dyDescent="0.2">
      <c r="B103" s="63"/>
      <c r="F103" s="13">
        <v>0</v>
      </c>
      <c r="G103" s="2">
        <v>0</v>
      </c>
      <c r="H103" s="15">
        <v>0</v>
      </c>
      <c r="I103" s="15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14">
        <v>0</v>
      </c>
      <c r="AL103" s="64"/>
    </row>
    <row r="104" spans="2:38" hidden="1" x14ac:dyDescent="0.2">
      <c r="B104" s="63"/>
      <c r="F104" s="13">
        <v>0</v>
      </c>
      <c r="G104" s="2">
        <v>0</v>
      </c>
      <c r="H104" s="15">
        <v>0</v>
      </c>
      <c r="I104" s="15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14">
        <v>0</v>
      </c>
      <c r="AL104" s="64"/>
    </row>
    <row r="105" spans="2:38" hidden="1" x14ac:dyDescent="0.2">
      <c r="B105" s="63"/>
      <c r="F105" s="13">
        <v>0</v>
      </c>
      <c r="G105" s="2">
        <v>0</v>
      </c>
      <c r="H105" s="15">
        <v>0</v>
      </c>
      <c r="I105" s="15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14">
        <v>0</v>
      </c>
      <c r="AL105" s="64"/>
    </row>
    <row r="106" spans="2:38" hidden="1" x14ac:dyDescent="0.2">
      <c r="B106" s="63"/>
      <c r="F106" s="13">
        <v>0</v>
      </c>
      <c r="G106" s="2">
        <v>0</v>
      </c>
      <c r="H106" s="15">
        <v>0</v>
      </c>
      <c r="I106" s="15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14">
        <v>0</v>
      </c>
      <c r="AL106" s="64"/>
    </row>
    <row r="107" spans="2:38" hidden="1" x14ac:dyDescent="0.2">
      <c r="B107" s="63"/>
      <c r="F107" s="13">
        <v>0</v>
      </c>
      <c r="G107" s="2">
        <v>0</v>
      </c>
      <c r="H107" s="15">
        <v>0</v>
      </c>
      <c r="I107" s="15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14">
        <v>0</v>
      </c>
      <c r="AL107" s="64"/>
    </row>
    <row r="108" spans="2:38" hidden="1" x14ac:dyDescent="0.2">
      <c r="B108" s="63"/>
      <c r="F108" s="13">
        <v>0</v>
      </c>
      <c r="G108" s="2">
        <v>0</v>
      </c>
      <c r="H108" s="15">
        <v>0</v>
      </c>
      <c r="I108" s="15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14">
        <v>0</v>
      </c>
      <c r="AL108" s="64"/>
    </row>
    <row r="109" spans="2:38" hidden="1" x14ac:dyDescent="0.2">
      <c r="B109" s="63"/>
      <c r="F109" s="13">
        <v>0</v>
      </c>
      <c r="G109" s="2">
        <v>0</v>
      </c>
      <c r="H109" s="15">
        <v>0</v>
      </c>
      <c r="I109" s="15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14">
        <v>0</v>
      </c>
      <c r="AL109" s="64"/>
    </row>
    <row r="110" spans="2:38" hidden="1" x14ac:dyDescent="0.2">
      <c r="B110" s="63"/>
      <c r="F110" s="13">
        <v>0</v>
      </c>
      <c r="G110" s="2">
        <v>0</v>
      </c>
      <c r="H110" s="15">
        <v>0</v>
      </c>
      <c r="I110" s="15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14">
        <v>0</v>
      </c>
      <c r="AL110" s="64"/>
    </row>
    <row r="111" spans="2:38" hidden="1" x14ac:dyDescent="0.2">
      <c r="B111" s="63"/>
      <c r="F111" s="13">
        <v>0</v>
      </c>
      <c r="G111" s="2">
        <v>0</v>
      </c>
      <c r="H111" s="15">
        <v>0</v>
      </c>
      <c r="I111" s="15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14">
        <v>0</v>
      </c>
      <c r="AL111" s="64"/>
    </row>
    <row r="112" spans="2:38" hidden="1" x14ac:dyDescent="0.2">
      <c r="B112" s="63"/>
      <c r="F112" s="13">
        <v>0</v>
      </c>
      <c r="G112" s="2">
        <v>0</v>
      </c>
      <c r="H112" s="15">
        <v>0</v>
      </c>
      <c r="I112" s="15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14">
        <v>0</v>
      </c>
      <c r="AL112" s="64"/>
    </row>
    <row r="113" spans="2:38" hidden="1" x14ac:dyDescent="0.2">
      <c r="B113" s="63"/>
      <c r="F113" s="13">
        <v>0</v>
      </c>
      <c r="G113" s="15">
        <v>0</v>
      </c>
      <c r="H113" s="15">
        <v>0</v>
      </c>
      <c r="I113" s="15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14">
        <v>0</v>
      </c>
      <c r="AL113" s="64"/>
    </row>
    <row r="114" spans="2:38" hidden="1" x14ac:dyDescent="0.2">
      <c r="B114" s="63"/>
      <c r="F114" s="13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14">
        <v>0</v>
      </c>
      <c r="AL114" s="64"/>
    </row>
    <row r="115" spans="2:38" hidden="1" x14ac:dyDescent="0.2">
      <c r="B115" s="63"/>
      <c r="F115" s="13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69">
        <v>0</v>
      </c>
      <c r="AB115" s="69">
        <v>0</v>
      </c>
      <c r="AC115" s="2">
        <v>1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14">
        <v>0</v>
      </c>
      <c r="AL115" s="64"/>
    </row>
    <row r="116" spans="2:38" hidden="1" x14ac:dyDescent="0.2">
      <c r="B116" s="63"/>
      <c r="F116" s="13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69">
        <v>0</v>
      </c>
      <c r="AB116" s="69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14">
        <v>0</v>
      </c>
      <c r="AL116" s="64"/>
    </row>
    <row r="117" spans="2:38" hidden="1" x14ac:dyDescent="0.2">
      <c r="B117" s="63"/>
      <c r="F117" s="13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69">
        <v>0</v>
      </c>
      <c r="AB117" s="69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14">
        <v>0</v>
      </c>
      <c r="AL117" s="64"/>
    </row>
    <row r="118" spans="2:38" hidden="1" x14ac:dyDescent="0.2">
      <c r="B118" s="63"/>
      <c r="F118" s="13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69">
        <v>0</v>
      </c>
      <c r="AB118" s="69">
        <v>0</v>
      </c>
      <c r="AC118" s="2">
        <v>0</v>
      </c>
      <c r="AD118" s="2">
        <v>0</v>
      </c>
      <c r="AE118" s="2">
        <v>0</v>
      </c>
      <c r="AF118" s="2">
        <v>1</v>
      </c>
      <c r="AG118" s="2">
        <v>0</v>
      </c>
      <c r="AH118" s="2">
        <v>0</v>
      </c>
      <c r="AI118" s="2">
        <v>0</v>
      </c>
      <c r="AJ118" s="2">
        <v>0</v>
      </c>
      <c r="AK118" s="14">
        <v>0</v>
      </c>
      <c r="AL118" s="64"/>
    </row>
    <row r="119" spans="2:38" hidden="1" x14ac:dyDescent="0.2">
      <c r="B119" s="63"/>
      <c r="F119" s="13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69">
        <v>0</v>
      </c>
      <c r="AB119" s="69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14">
        <v>0</v>
      </c>
      <c r="AL119" s="64"/>
    </row>
    <row r="120" spans="2:38" hidden="1" x14ac:dyDescent="0.2">
      <c r="B120" s="63"/>
      <c r="F120" s="13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69">
        <v>0</v>
      </c>
      <c r="AB120" s="69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0</v>
      </c>
      <c r="AK120" s="14">
        <v>0</v>
      </c>
      <c r="AL120" s="64"/>
    </row>
    <row r="121" spans="2:38" hidden="1" x14ac:dyDescent="0.2">
      <c r="B121" s="63"/>
      <c r="F121" s="13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69">
        <v>0</v>
      </c>
      <c r="AB121" s="69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1</v>
      </c>
      <c r="AJ121" s="2">
        <v>0</v>
      </c>
      <c r="AK121" s="14">
        <v>0</v>
      </c>
      <c r="AL121" s="64"/>
    </row>
    <row r="122" spans="2:38" hidden="1" x14ac:dyDescent="0.2">
      <c r="B122" s="63"/>
      <c r="F122" s="13">
        <v>0</v>
      </c>
      <c r="G122" s="2">
        <v>0</v>
      </c>
      <c r="H122" s="15">
        <v>0</v>
      </c>
      <c r="I122" s="15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14">
        <v>0</v>
      </c>
      <c r="AL122" s="64"/>
    </row>
    <row r="123" spans="2:38" hidden="1" x14ac:dyDescent="0.2">
      <c r="B123" s="63"/>
      <c r="F123" s="16">
        <v>0</v>
      </c>
      <c r="G123" s="17">
        <v>0</v>
      </c>
      <c r="H123" s="19">
        <v>0</v>
      </c>
      <c r="I123" s="19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1</v>
      </c>
      <c r="AL123" s="64"/>
    </row>
    <row r="124" spans="2:38" x14ac:dyDescent="0.2">
      <c r="B124" s="63"/>
      <c r="AL124" s="64"/>
    </row>
    <row r="125" spans="2:38" x14ac:dyDescent="0.2">
      <c r="B125" s="65" t="s">
        <v>159</v>
      </c>
      <c r="D125" s="3" t="s">
        <v>0</v>
      </c>
      <c r="E125" s="3" t="s">
        <v>1</v>
      </c>
      <c r="AL125" s="64"/>
    </row>
    <row r="126" spans="2:38" x14ac:dyDescent="0.2">
      <c r="B126" s="63"/>
      <c r="D126" s="2" t="s">
        <v>3</v>
      </c>
      <c r="E126" s="2" t="s">
        <v>2</v>
      </c>
      <c r="F126" s="33" t="e">
        <f t="array" ref="F126:AK157">MINVERSE(F92:AK123-F31:AK62)</f>
        <v>#DIV/0!</v>
      </c>
      <c r="G126" s="22" t="e">
        <v>#DIV/0!</v>
      </c>
      <c r="H126" s="22" t="e">
        <v>#DIV/0!</v>
      </c>
      <c r="I126" s="22" t="e">
        <v>#DIV/0!</v>
      </c>
      <c r="J126" s="22" t="e">
        <v>#DIV/0!</v>
      </c>
      <c r="K126" s="22" t="e">
        <v>#DIV/0!</v>
      </c>
      <c r="L126" s="22" t="e">
        <v>#DIV/0!</v>
      </c>
      <c r="M126" s="22" t="e">
        <v>#DIV/0!</v>
      </c>
      <c r="N126" s="22" t="e">
        <v>#DIV/0!</v>
      </c>
      <c r="O126" s="22" t="e">
        <v>#DIV/0!</v>
      </c>
      <c r="P126" s="22" t="e">
        <v>#DIV/0!</v>
      </c>
      <c r="Q126" s="22" t="e">
        <v>#DIV/0!</v>
      </c>
      <c r="R126" s="22" t="e">
        <v>#DIV/0!</v>
      </c>
      <c r="S126" s="22" t="e">
        <v>#DIV/0!</v>
      </c>
      <c r="T126" s="22" t="e">
        <v>#DIV/0!</v>
      </c>
      <c r="U126" s="22" t="e">
        <v>#DIV/0!</v>
      </c>
      <c r="V126" s="22" t="e">
        <v>#DIV/0!</v>
      </c>
      <c r="W126" s="22" t="e">
        <v>#DIV/0!</v>
      </c>
      <c r="X126" s="22" t="e">
        <v>#DIV/0!</v>
      </c>
      <c r="Y126" s="22" t="e">
        <v>#DIV/0!</v>
      </c>
      <c r="Z126" s="22" t="e">
        <v>#DIV/0!</v>
      </c>
      <c r="AA126" s="22" t="e">
        <v>#DIV/0!</v>
      </c>
      <c r="AB126" s="22" t="e">
        <v>#DIV/0!</v>
      </c>
      <c r="AC126" s="22" t="e">
        <v>#DIV/0!</v>
      </c>
      <c r="AD126" s="22" t="e">
        <v>#DIV/0!</v>
      </c>
      <c r="AE126" s="22" t="e">
        <v>#DIV/0!</v>
      </c>
      <c r="AF126" s="22" t="e">
        <v>#DIV/0!</v>
      </c>
      <c r="AG126" s="22" t="e">
        <v>#DIV/0!</v>
      </c>
      <c r="AH126" s="22" t="e">
        <v>#DIV/0!</v>
      </c>
      <c r="AI126" s="22" t="e">
        <v>#DIV/0!</v>
      </c>
      <c r="AJ126" s="22" t="e">
        <v>#DIV/0!</v>
      </c>
      <c r="AK126" s="34" t="e">
        <v>#DIV/0!</v>
      </c>
      <c r="AL126" s="64"/>
    </row>
    <row r="127" spans="2:38" x14ac:dyDescent="0.2">
      <c r="B127" s="63"/>
      <c r="D127" s="2" t="s">
        <v>93</v>
      </c>
      <c r="E127" s="2" t="s">
        <v>2</v>
      </c>
      <c r="F127" s="35" t="e">
        <v>#DIV/0!</v>
      </c>
      <c r="G127" s="7" t="e">
        <v>#DIV/0!</v>
      </c>
      <c r="H127" s="7" t="e">
        <v>#DIV/0!</v>
      </c>
      <c r="I127" s="7" t="e">
        <v>#DIV/0!</v>
      </c>
      <c r="J127" s="7" t="e">
        <v>#DIV/0!</v>
      </c>
      <c r="K127" s="7" t="e">
        <v>#DIV/0!</v>
      </c>
      <c r="L127" s="7" t="e">
        <v>#DIV/0!</v>
      </c>
      <c r="M127" s="7" t="e">
        <v>#DIV/0!</v>
      </c>
      <c r="N127" s="7" t="e">
        <v>#DIV/0!</v>
      </c>
      <c r="O127" s="7" t="e">
        <v>#DIV/0!</v>
      </c>
      <c r="P127" s="7" t="e">
        <v>#DIV/0!</v>
      </c>
      <c r="Q127" s="7" t="e">
        <v>#DIV/0!</v>
      </c>
      <c r="R127" s="7" t="e">
        <v>#DIV/0!</v>
      </c>
      <c r="S127" s="7" t="e">
        <v>#DIV/0!</v>
      </c>
      <c r="T127" s="7" t="e">
        <v>#DIV/0!</v>
      </c>
      <c r="U127" s="7" t="e">
        <v>#DIV/0!</v>
      </c>
      <c r="V127" s="7" t="e">
        <v>#DIV/0!</v>
      </c>
      <c r="W127" s="7" t="e">
        <v>#DIV/0!</v>
      </c>
      <c r="X127" s="7" t="e">
        <v>#DIV/0!</v>
      </c>
      <c r="Y127" s="7" t="e">
        <v>#DIV/0!</v>
      </c>
      <c r="Z127" s="7" t="e">
        <v>#DIV/0!</v>
      </c>
      <c r="AA127" s="7" t="e">
        <v>#DIV/0!</v>
      </c>
      <c r="AB127" s="7" t="e">
        <v>#DIV/0!</v>
      </c>
      <c r="AC127" s="7" t="e">
        <v>#DIV/0!</v>
      </c>
      <c r="AD127" s="7" t="e">
        <v>#DIV/0!</v>
      </c>
      <c r="AE127" s="7" t="e">
        <v>#DIV/0!</v>
      </c>
      <c r="AF127" s="7" t="e">
        <v>#DIV/0!</v>
      </c>
      <c r="AG127" s="7" t="e">
        <v>#DIV/0!</v>
      </c>
      <c r="AH127" s="7" t="e">
        <v>#DIV/0!</v>
      </c>
      <c r="AI127" s="7" t="e">
        <v>#DIV/0!</v>
      </c>
      <c r="AJ127" s="7" t="e">
        <v>#DIV/0!</v>
      </c>
      <c r="AK127" s="36" t="e">
        <v>#DIV/0!</v>
      </c>
      <c r="AL127" s="64"/>
    </row>
    <row r="128" spans="2:38" x14ac:dyDescent="0.2">
      <c r="B128" s="63"/>
      <c r="D128" s="2" t="s">
        <v>64</v>
      </c>
      <c r="E128" s="2" t="s">
        <v>5</v>
      </c>
      <c r="F128" s="40" t="e">
        <v>#DIV/0!</v>
      </c>
      <c r="G128" s="7" t="e">
        <v>#DIV/0!</v>
      </c>
      <c r="H128" s="7" t="e">
        <v>#DIV/0!</v>
      </c>
      <c r="I128" s="7" t="e">
        <v>#DIV/0!</v>
      </c>
      <c r="J128" s="7" t="e">
        <v>#DIV/0!</v>
      </c>
      <c r="K128" s="7" t="e">
        <v>#DIV/0!</v>
      </c>
      <c r="L128" s="7" t="e">
        <v>#DIV/0!</v>
      </c>
      <c r="M128" s="7" t="e">
        <v>#DIV/0!</v>
      </c>
      <c r="N128" s="7" t="e">
        <v>#DIV/0!</v>
      </c>
      <c r="O128" s="7" t="e">
        <v>#DIV/0!</v>
      </c>
      <c r="P128" s="7" t="e">
        <v>#DIV/0!</v>
      </c>
      <c r="Q128" s="7" t="e">
        <v>#DIV/0!</v>
      </c>
      <c r="R128" s="7" t="e">
        <v>#DIV/0!</v>
      </c>
      <c r="S128" s="7" t="e">
        <v>#DIV/0!</v>
      </c>
      <c r="T128" s="7" t="e">
        <v>#DIV/0!</v>
      </c>
      <c r="U128" s="7" t="e">
        <v>#DIV/0!</v>
      </c>
      <c r="V128" s="7" t="e">
        <v>#DIV/0!</v>
      </c>
      <c r="W128" s="7" t="e">
        <v>#DIV/0!</v>
      </c>
      <c r="X128" s="7" t="e">
        <v>#DIV/0!</v>
      </c>
      <c r="Y128" s="7" t="e">
        <v>#DIV/0!</v>
      </c>
      <c r="Z128" s="7" t="e">
        <v>#DIV/0!</v>
      </c>
      <c r="AA128" s="7" t="e">
        <v>#DIV/0!</v>
      </c>
      <c r="AB128" s="7" t="e">
        <v>#DIV/0!</v>
      </c>
      <c r="AC128" s="7" t="e">
        <v>#DIV/0!</v>
      </c>
      <c r="AD128" s="7" t="e">
        <v>#DIV/0!</v>
      </c>
      <c r="AE128" s="7" t="e">
        <v>#DIV/0!</v>
      </c>
      <c r="AF128" s="7" t="e">
        <v>#DIV/0!</v>
      </c>
      <c r="AG128" s="7" t="e">
        <v>#DIV/0!</v>
      </c>
      <c r="AH128" s="7" t="e">
        <v>#DIV/0!</v>
      </c>
      <c r="AI128" s="7" t="e">
        <v>#DIV/0!</v>
      </c>
      <c r="AJ128" s="7" t="e">
        <v>#DIV/0!</v>
      </c>
      <c r="AK128" s="36" t="e">
        <v>#DIV/0!</v>
      </c>
      <c r="AL128" s="64"/>
    </row>
    <row r="129" spans="2:38" x14ac:dyDescent="0.2">
      <c r="B129" s="63"/>
      <c r="D129" s="2" t="s">
        <v>94</v>
      </c>
      <c r="E129" s="2" t="s">
        <v>5</v>
      </c>
      <c r="F129" s="35" t="e">
        <v>#DIV/0!</v>
      </c>
      <c r="G129" s="74" t="e">
        <v>#DIV/0!</v>
      </c>
      <c r="H129" s="7" t="e">
        <v>#DIV/0!</v>
      </c>
      <c r="I129" s="7" t="e">
        <v>#DIV/0!</v>
      </c>
      <c r="J129" s="7" t="e">
        <v>#DIV/0!</v>
      </c>
      <c r="K129" s="7" t="e">
        <v>#DIV/0!</v>
      </c>
      <c r="L129" s="7" t="e">
        <v>#DIV/0!</v>
      </c>
      <c r="M129" s="7" t="e">
        <v>#DIV/0!</v>
      </c>
      <c r="N129" s="7" t="e">
        <v>#DIV/0!</v>
      </c>
      <c r="O129" s="7" t="e">
        <v>#DIV/0!</v>
      </c>
      <c r="P129" s="7" t="e">
        <v>#DIV/0!</v>
      </c>
      <c r="Q129" s="7" t="e">
        <v>#DIV/0!</v>
      </c>
      <c r="R129" s="7" t="e">
        <v>#DIV/0!</v>
      </c>
      <c r="S129" s="7" t="e">
        <v>#DIV/0!</v>
      </c>
      <c r="T129" s="7" t="e">
        <v>#DIV/0!</v>
      </c>
      <c r="U129" s="7" t="e">
        <v>#DIV/0!</v>
      </c>
      <c r="V129" s="7" t="e">
        <v>#DIV/0!</v>
      </c>
      <c r="W129" s="7" t="e">
        <v>#DIV/0!</v>
      </c>
      <c r="X129" s="7" t="e">
        <v>#DIV/0!</v>
      </c>
      <c r="Y129" s="7" t="e">
        <v>#DIV/0!</v>
      </c>
      <c r="Z129" s="7" t="e">
        <v>#DIV/0!</v>
      </c>
      <c r="AA129" s="7" t="e">
        <v>#DIV/0!</v>
      </c>
      <c r="AB129" s="7" t="e">
        <v>#DIV/0!</v>
      </c>
      <c r="AC129" s="7" t="e">
        <v>#DIV/0!</v>
      </c>
      <c r="AD129" s="7" t="e">
        <v>#DIV/0!</v>
      </c>
      <c r="AE129" s="7" t="e">
        <v>#DIV/0!</v>
      </c>
      <c r="AF129" s="7" t="e">
        <v>#DIV/0!</v>
      </c>
      <c r="AG129" s="7" t="e">
        <v>#DIV/0!</v>
      </c>
      <c r="AH129" s="7" t="e">
        <v>#DIV/0!</v>
      </c>
      <c r="AI129" s="7" t="e">
        <v>#DIV/0!</v>
      </c>
      <c r="AJ129" s="7" t="e">
        <v>#DIV/0!</v>
      </c>
      <c r="AK129" s="36" t="e">
        <v>#DIV/0!</v>
      </c>
      <c r="AL129" s="64"/>
    </row>
    <row r="130" spans="2:38" x14ac:dyDescent="0.2">
      <c r="B130" s="63"/>
      <c r="D130" s="2" t="s">
        <v>112</v>
      </c>
      <c r="E130" s="2" t="s">
        <v>95</v>
      </c>
      <c r="F130" s="35" t="e">
        <v>#DIV/0!</v>
      </c>
      <c r="G130" s="74" t="e">
        <v>#DIV/0!</v>
      </c>
      <c r="H130" s="7" t="e">
        <v>#DIV/0!</v>
      </c>
      <c r="I130" s="7" t="e">
        <v>#DIV/0!</v>
      </c>
      <c r="J130" s="7" t="e">
        <v>#DIV/0!</v>
      </c>
      <c r="K130" s="7" t="e">
        <v>#DIV/0!</v>
      </c>
      <c r="L130" s="7" t="e">
        <v>#DIV/0!</v>
      </c>
      <c r="M130" s="7" t="e">
        <v>#DIV/0!</v>
      </c>
      <c r="N130" s="7" t="e">
        <v>#DIV/0!</v>
      </c>
      <c r="O130" s="7" t="e">
        <v>#DIV/0!</v>
      </c>
      <c r="P130" s="7" t="e">
        <v>#DIV/0!</v>
      </c>
      <c r="Q130" s="7" t="e">
        <v>#DIV/0!</v>
      </c>
      <c r="R130" s="7" t="e">
        <v>#DIV/0!</v>
      </c>
      <c r="S130" s="7" t="e">
        <v>#DIV/0!</v>
      </c>
      <c r="T130" s="7" t="e">
        <v>#DIV/0!</v>
      </c>
      <c r="U130" s="7" t="e">
        <v>#DIV/0!</v>
      </c>
      <c r="V130" s="7" t="e">
        <v>#DIV/0!</v>
      </c>
      <c r="W130" s="7" t="e">
        <v>#DIV/0!</v>
      </c>
      <c r="X130" s="7" t="e">
        <v>#DIV/0!</v>
      </c>
      <c r="Y130" s="7" t="e">
        <v>#DIV/0!</v>
      </c>
      <c r="Z130" s="7" t="e">
        <v>#DIV/0!</v>
      </c>
      <c r="AA130" s="7" t="e">
        <v>#DIV/0!</v>
      </c>
      <c r="AB130" s="7" t="e">
        <v>#DIV/0!</v>
      </c>
      <c r="AC130" s="7" t="e">
        <v>#DIV/0!</v>
      </c>
      <c r="AD130" s="7" t="e">
        <v>#DIV/0!</v>
      </c>
      <c r="AE130" s="7" t="e">
        <v>#DIV/0!</v>
      </c>
      <c r="AF130" s="7" t="e">
        <v>#DIV/0!</v>
      </c>
      <c r="AG130" s="7" t="e">
        <v>#DIV/0!</v>
      </c>
      <c r="AH130" s="7" t="e">
        <v>#DIV/0!</v>
      </c>
      <c r="AI130" s="7" t="e">
        <v>#DIV/0!</v>
      </c>
      <c r="AJ130" s="7" t="e">
        <v>#DIV/0!</v>
      </c>
      <c r="AK130" s="36" t="e">
        <v>#DIV/0!</v>
      </c>
      <c r="AL130" s="64"/>
    </row>
    <row r="131" spans="2:38" x14ac:dyDescent="0.2">
      <c r="B131" s="63"/>
      <c r="D131" s="2" t="s">
        <v>113</v>
      </c>
      <c r="E131" s="2" t="s">
        <v>95</v>
      </c>
      <c r="F131" s="35" t="e">
        <v>#DIV/0!</v>
      </c>
      <c r="G131" s="74" t="e">
        <v>#DIV/0!</v>
      </c>
      <c r="H131" s="7" t="e">
        <v>#DIV/0!</v>
      </c>
      <c r="I131" s="7" t="e">
        <v>#DIV/0!</v>
      </c>
      <c r="J131" s="7" t="e">
        <v>#DIV/0!</v>
      </c>
      <c r="K131" s="7" t="e">
        <v>#DIV/0!</v>
      </c>
      <c r="L131" s="7" t="e">
        <v>#DIV/0!</v>
      </c>
      <c r="M131" s="7" t="e">
        <v>#DIV/0!</v>
      </c>
      <c r="N131" s="7" t="e">
        <v>#DIV/0!</v>
      </c>
      <c r="O131" s="7" t="e">
        <v>#DIV/0!</v>
      </c>
      <c r="P131" s="7" t="e">
        <v>#DIV/0!</v>
      </c>
      <c r="Q131" s="7" t="e">
        <v>#DIV/0!</v>
      </c>
      <c r="R131" s="7" t="e">
        <v>#DIV/0!</v>
      </c>
      <c r="S131" s="7" t="e">
        <v>#DIV/0!</v>
      </c>
      <c r="T131" s="7" t="e">
        <v>#DIV/0!</v>
      </c>
      <c r="U131" s="7" t="e">
        <v>#DIV/0!</v>
      </c>
      <c r="V131" s="7" t="e">
        <v>#DIV/0!</v>
      </c>
      <c r="W131" s="7" t="e">
        <v>#DIV/0!</v>
      </c>
      <c r="X131" s="7" t="e">
        <v>#DIV/0!</v>
      </c>
      <c r="Y131" s="7" t="e">
        <v>#DIV/0!</v>
      </c>
      <c r="Z131" s="7" t="e">
        <v>#DIV/0!</v>
      </c>
      <c r="AA131" s="7" t="e">
        <v>#DIV/0!</v>
      </c>
      <c r="AB131" s="7" t="e">
        <v>#DIV/0!</v>
      </c>
      <c r="AC131" s="7" t="e">
        <v>#DIV/0!</v>
      </c>
      <c r="AD131" s="7" t="e">
        <v>#DIV/0!</v>
      </c>
      <c r="AE131" s="7" t="e">
        <v>#DIV/0!</v>
      </c>
      <c r="AF131" s="7" t="e">
        <v>#DIV/0!</v>
      </c>
      <c r="AG131" s="7" t="e">
        <v>#DIV/0!</v>
      </c>
      <c r="AH131" s="7" t="e">
        <v>#DIV/0!</v>
      </c>
      <c r="AI131" s="7" t="e">
        <v>#DIV/0!</v>
      </c>
      <c r="AJ131" s="7" t="e">
        <v>#DIV/0!</v>
      </c>
      <c r="AK131" s="36" t="e">
        <v>#DIV/0!</v>
      </c>
      <c r="AL131" s="64"/>
    </row>
    <row r="132" spans="2:38" x14ac:dyDescent="0.2">
      <c r="B132" s="63"/>
      <c r="D132" s="2" t="s">
        <v>4</v>
      </c>
      <c r="E132" s="2" t="s">
        <v>6</v>
      </c>
      <c r="F132" s="40" t="e">
        <v>#DIV/0!</v>
      </c>
      <c r="G132" s="7" t="e">
        <v>#DIV/0!</v>
      </c>
      <c r="H132" s="7" t="e">
        <v>#DIV/0!</v>
      </c>
      <c r="I132" s="7" t="e">
        <v>#DIV/0!</v>
      </c>
      <c r="J132" s="7" t="e">
        <v>#DIV/0!</v>
      </c>
      <c r="K132" s="7" t="e">
        <v>#DIV/0!</v>
      </c>
      <c r="L132" s="7" t="e">
        <v>#DIV/0!</v>
      </c>
      <c r="M132" s="7" t="e">
        <v>#DIV/0!</v>
      </c>
      <c r="N132" s="7" t="e">
        <v>#DIV/0!</v>
      </c>
      <c r="O132" s="7" t="e">
        <v>#DIV/0!</v>
      </c>
      <c r="P132" s="7" t="e">
        <v>#DIV/0!</v>
      </c>
      <c r="Q132" s="7" t="e">
        <v>#DIV/0!</v>
      </c>
      <c r="R132" s="7" t="e">
        <v>#DIV/0!</v>
      </c>
      <c r="S132" s="7" t="e">
        <v>#DIV/0!</v>
      </c>
      <c r="T132" s="7" t="e">
        <v>#DIV/0!</v>
      </c>
      <c r="U132" s="7" t="e">
        <v>#DIV/0!</v>
      </c>
      <c r="V132" s="7" t="e">
        <v>#DIV/0!</v>
      </c>
      <c r="W132" s="7" t="e">
        <v>#DIV/0!</v>
      </c>
      <c r="X132" s="7" t="e">
        <v>#DIV/0!</v>
      </c>
      <c r="Y132" s="7" t="e">
        <v>#DIV/0!</v>
      </c>
      <c r="Z132" s="7" t="e">
        <v>#DIV/0!</v>
      </c>
      <c r="AA132" s="7" t="e">
        <v>#DIV/0!</v>
      </c>
      <c r="AB132" s="7" t="e">
        <v>#DIV/0!</v>
      </c>
      <c r="AC132" s="7" t="e">
        <v>#DIV/0!</v>
      </c>
      <c r="AD132" s="7" t="e">
        <v>#DIV/0!</v>
      </c>
      <c r="AE132" s="7" t="e">
        <v>#DIV/0!</v>
      </c>
      <c r="AF132" s="7" t="e">
        <v>#DIV/0!</v>
      </c>
      <c r="AG132" s="7" t="e">
        <v>#DIV/0!</v>
      </c>
      <c r="AH132" s="7" t="e">
        <v>#DIV/0!</v>
      </c>
      <c r="AI132" s="7" t="e">
        <v>#DIV/0!</v>
      </c>
      <c r="AJ132" s="7" t="e">
        <v>#DIV/0!</v>
      </c>
      <c r="AK132" s="36" t="e">
        <v>#DIV/0!</v>
      </c>
      <c r="AL132" s="64"/>
    </row>
    <row r="133" spans="2:38" x14ac:dyDescent="0.2">
      <c r="B133" s="63"/>
      <c r="D133" s="2" t="s">
        <v>14</v>
      </c>
      <c r="E133" s="2" t="s">
        <v>15</v>
      </c>
      <c r="F133" s="40" t="e">
        <v>#DIV/0!</v>
      </c>
      <c r="G133" s="7" t="e">
        <v>#DIV/0!</v>
      </c>
      <c r="H133" s="7" t="e">
        <v>#DIV/0!</v>
      </c>
      <c r="I133" s="7" t="e">
        <v>#DIV/0!</v>
      </c>
      <c r="J133" s="7" t="e">
        <v>#DIV/0!</v>
      </c>
      <c r="K133" s="7" t="e">
        <v>#DIV/0!</v>
      </c>
      <c r="L133" s="7" t="e">
        <v>#DIV/0!</v>
      </c>
      <c r="M133" s="7" t="e">
        <v>#DIV/0!</v>
      </c>
      <c r="N133" s="7" t="e">
        <v>#DIV/0!</v>
      </c>
      <c r="O133" s="7" t="e">
        <v>#DIV/0!</v>
      </c>
      <c r="P133" s="7" t="e">
        <v>#DIV/0!</v>
      </c>
      <c r="Q133" s="7" t="e">
        <v>#DIV/0!</v>
      </c>
      <c r="R133" s="7" t="e">
        <v>#DIV/0!</v>
      </c>
      <c r="S133" s="7" t="e">
        <v>#DIV/0!</v>
      </c>
      <c r="T133" s="7" t="e">
        <v>#DIV/0!</v>
      </c>
      <c r="U133" s="7" t="e">
        <v>#DIV/0!</v>
      </c>
      <c r="V133" s="7" t="e">
        <v>#DIV/0!</v>
      </c>
      <c r="W133" s="7" t="e">
        <v>#DIV/0!</v>
      </c>
      <c r="X133" s="7" t="e">
        <v>#DIV/0!</v>
      </c>
      <c r="Y133" s="7" t="e">
        <v>#DIV/0!</v>
      </c>
      <c r="Z133" s="7" t="e">
        <v>#DIV/0!</v>
      </c>
      <c r="AA133" s="7" t="e">
        <v>#DIV/0!</v>
      </c>
      <c r="AB133" s="7" t="e">
        <v>#DIV/0!</v>
      </c>
      <c r="AC133" s="7" t="e">
        <v>#DIV/0!</v>
      </c>
      <c r="AD133" s="7" t="e">
        <v>#DIV/0!</v>
      </c>
      <c r="AE133" s="7" t="e">
        <v>#DIV/0!</v>
      </c>
      <c r="AF133" s="7" t="e">
        <v>#DIV/0!</v>
      </c>
      <c r="AG133" s="7" t="e">
        <v>#DIV/0!</v>
      </c>
      <c r="AH133" s="7" t="e">
        <v>#DIV/0!</v>
      </c>
      <c r="AI133" s="7" t="e">
        <v>#DIV/0!</v>
      </c>
      <c r="AJ133" s="7" t="e">
        <v>#DIV/0!</v>
      </c>
      <c r="AK133" s="36" t="e">
        <v>#DIV/0!</v>
      </c>
      <c r="AL133" s="64"/>
    </row>
    <row r="134" spans="2:38" x14ac:dyDescent="0.2">
      <c r="B134" s="63"/>
      <c r="D134" s="2" t="s">
        <v>11</v>
      </c>
      <c r="E134" s="2" t="s">
        <v>18</v>
      </c>
      <c r="F134" s="35" t="e">
        <v>#DIV/0!</v>
      </c>
      <c r="G134" s="7" t="e">
        <v>#DIV/0!</v>
      </c>
      <c r="H134" s="74" t="e">
        <v>#DIV/0!</v>
      </c>
      <c r="I134" s="74" t="e">
        <v>#DIV/0!</v>
      </c>
      <c r="J134" s="7" t="e">
        <v>#DIV/0!</v>
      </c>
      <c r="K134" s="7" t="e">
        <v>#DIV/0!</v>
      </c>
      <c r="L134" s="7" t="e">
        <v>#DIV/0!</v>
      </c>
      <c r="M134" s="7" t="e">
        <v>#DIV/0!</v>
      </c>
      <c r="N134" s="7" t="e">
        <v>#DIV/0!</v>
      </c>
      <c r="O134" s="7" t="e">
        <v>#DIV/0!</v>
      </c>
      <c r="P134" s="7" t="e">
        <v>#DIV/0!</v>
      </c>
      <c r="Q134" s="7" t="e">
        <v>#DIV/0!</v>
      </c>
      <c r="R134" s="7" t="e">
        <v>#DIV/0!</v>
      </c>
      <c r="S134" s="7" t="e">
        <v>#DIV/0!</v>
      </c>
      <c r="T134" s="7" t="e">
        <v>#DIV/0!</v>
      </c>
      <c r="U134" s="7" t="e">
        <v>#DIV/0!</v>
      </c>
      <c r="V134" s="7" t="e">
        <v>#DIV/0!</v>
      </c>
      <c r="W134" s="7" t="e">
        <v>#DIV/0!</v>
      </c>
      <c r="X134" s="7" t="e">
        <v>#DIV/0!</v>
      </c>
      <c r="Y134" s="7" t="e">
        <v>#DIV/0!</v>
      </c>
      <c r="Z134" s="7" t="e">
        <v>#DIV/0!</v>
      </c>
      <c r="AA134" s="7" t="e">
        <v>#DIV/0!</v>
      </c>
      <c r="AB134" s="7" t="e">
        <v>#DIV/0!</v>
      </c>
      <c r="AC134" s="7" t="e">
        <v>#DIV/0!</v>
      </c>
      <c r="AD134" s="7" t="e">
        <v>#DIV/0!</v>
      </c>
      <c r="AE134" s="7" t="e">
        <v>#DIV/0!</v>
      </c>
      <c r="AF134" s="7" t="e">
        <v>#DIV/0!</v>
      </c>
      <c r="AG134" s="7" t="e">
        <v>#DIV/0!</v>
      </c>
      <c r="AH134" s="7" t="e">
        <v>#DIV/0!</v>
      </c>
      <c r="AI134" s="7" t="e">
        <v>#DIV/0!</v>
      </c>
      <c r="AJ134" s="7" t="e">
        <v>#DIV/0!</v>
      </c>
      <c r="AK134" s="36" t="e">
        <v>#DIV/0!</v>
      </c>
      <c r="AL134" s="64"/>
    </row>
    <row r="135" spans="2:38" x14ac:dyDescent="0.2">
      <c r="B135" s="63"/>
      <c r="D135" s="2" t="s">
        <v>65</v>
      </c>
      <c r="E135" s="2" t="s">
        <v>18</v>
      </c>
      <c r="F135" s="35" t="e">
        <v>#DIV/0!</v>
      </c>
      <c r="G135" s="7" t="e">
        <v>#DIV/0!</v>
      </c>
      <c r="H135" s="74" t="e">
        <v>#DIV/0!</v>
      </c>
      <c r="I135" s="74" t="e">
        <v>#DIV/0!</v>
      </c>
      <c r="J135" s="7" t="e">
        <v>#DIV/0!</v>
      </c>
      <c r="K135" s="7" t="e">
        <v>#DIV/0!</v>
      </c>
      <c r="L135" s="7" t="e">
        <v>#DIV/0!</v>
      </c>
      <c r="M135" s="7" t="e">
        <v>#DIV/0!</v>
      </c>
      <c r="N135" s="7" t="e">
        <v>#DIV/0!</v>
      </c>
      <c r="O135" s="7" t="e">
        <v>#DIV/0!</v>
      </c>
      <c r="P135" s="7" t="e">
        <v>#DIV/0!</v>
      </c>
      <c r="Q135" s="7" t="e">
        <v>#DIV/0!</v>
      </c>
      <c r="R135" s="7" t="e">
        <v>#DIV/0!</v>
      </c>
      <c r="S135" s="7" t="e">
        <v>#DIV/0!</v>
      </c>
      <c r="T135" s="7" t="e">
        <v>#DIV/0!</v>
      </c>
      <c r="U135" s="7" t="e">
        <v>#DIV/0!</v>
      </c>
      <c r="V135" s="7" t="e">
        <v>#DIV/0!</v>
      </c>
      <c r="W135" s="7" t="e">
        <v>#DIV/0!</v>
      </c>
      <c r="X135" s="7" t="e">
        <v>#DIV/0!</v>
      </c>
      <c r="Y135" s="7" t="e">
        <v>#DIV/0!</v>
      </c>
      <c r="Z135" s="7" t="e">
        <v>#DIV/0!</v>
      </c>
      <c r="AA135" s="7" t="e">
        <v>#DIV/0!</v>
      </c>
      <c r="AB135" s="7" t="e">
        <v>#DIV/0!</v>
      </c>
      <c r="AC135" s="7" t="e">
        <v>#DIV/0!</v>
      </c>
      <c r="AD135" s="7" t="e">
        <v>#DIV/0!</v>
      </c>
      <c r="AE135" s="7" t="e">
        <v>#DIV/0!</v>
      </c>
      <c r="AF135" s="7" t="e">
        <v>#DIV/0!</v>
      </c>
      <c r="AG135" s="7" t="e">
        <v>#DIV/0!</v>
      </c>
      <c r="AH135" s="7" t="e">
        <v>#DIV/0!</v>
      </c>
      <c r="AI135" s="7" t="e">
        <v>#DIV/0!</v>
      </c>
      <c r="AJ135" s="7" t="e">
        <v>#DIV/0!</v>
      </c>
      <c r="AK135" s="36" t="e">
        <v>#DIV/0!</v>
      </c>
      <c r="AL135" s="64"/>
    </row>
    <row r="136" spans="2:38" x14ac:dyDescent="0.2">
      <c r="B136" s="63"/>
      <c r="D136" s="2" t="s">
        <v>12</v>
      </c>
      <c r="E136" s="2" t="s">
        <v>18</v>
      </c>
      <c r="F136" s="35" t="e">
        <v>#DIV/0!</v>
      </c>
      <c r="G136" s="7" t="e">
        <v>#DIV/0!</v>
      </c>
      <c r="H136" s="74" t="e">
        <v>#DIV/0!</v>
      </c>
      <c r="I136" s="74" t="e">
        <v>#DIV/0!</v>
      </c>
      <c r="J136" s="7" t="e">
        <v>#DIV/0!</v>
      </c>
      <c r="K136" s="7" t="e">
        <v>#DIV/0!</v>
      </c>
      <c r="L136" s="7" t="e">
        <v>#DIV/0!</v>
      </c>
      <c r="M136" s="7" t="e">
        <v>#DIV/0!</v>
      </c>
      <c r="N136" s="7" t="e">
        <v>#DIV/0!</v>
      </c>
      <c r="O136" s="7" t="e">
        <v>#DIV/0!</v>
      </c>
      <c r="P136" s="7" t="e">
        <v>#DIV/0!</v>
      </c>
      <c r="Q136" s="7" t="e">
        <v>#DIV/0!</v>
      </c>
      <c r="R136" s="7" t="e">
        <v>#DIV/0!</v>
      </c>
      <c r="S136" s="7" t="e">
        <v>#DIV/0!</v>
      </c>
      <c r="T136" s="7" t="e">
        <v>#DIV/0!</v>
      </c>
      <c r="U136" s="7" t="e">
        <v>#DIV/0!</v>
      </c>
      <c r="V136" s="7" t="e">
        <v>#DIV/0!</v>
      </c>
      <c r="W136" s="7" t="e">
        <v>#DIV/0!</v>
      </c>
      <c r="X136" s="7" t="e">
        <v>#DIV/0!</v>
      </c>
      <c r="Y136" s="7" t="e">
        <v>#DIV/0!</v>
      </c>
      <c r="Z136" s="7" t="e">
        <v>#DIV/0!</v>
      </c>
      <c r="AA136" s="7" t="e">
        <v>#DIV/0!</v>
      </c>
      <c r="AB136" s="7" t="e">
        <v>#DIV/0!</v>
      </c>
      <c r="AC136" s="7" t="e">
        <v>#DIV/0!</v>
      </c>
      <c r="AD136" s="7" t="e">
        <v>#DIV/0!</v>
      </c>
      <c r="AE136" s="7" t="e">
        <v>#DIV/0!</v>
      </c>
      <c r="AF136" s="7" t="e">
        <v>#DIV/0!</v>
      </c>
      <c r="AG136" s="7" t="e">
        <v>#DIV/0!</v>
      </c>
      <c r="AH136" s="7" t="e">
        <v>#DIV/0!</v>
      </c>
      <c r="AI136" s="7" t="e">
        <v>#DIV/0!</v>
      </c>
      <c r="AJ136" s="7" t="e">
        <v>#DIV/0!</v>
      </c>
      <c r="AK136" s="36" t="e">
        <v>#DIV/0!</v>
      </c>
      <c r="AL136" s="64"/>
    </row>
    <row r="137" spans="2:38" x14ac:dyDescent="0.2">
      <c r="B137" s="63"/>
      <c r="D137" s="2" t="s">
        <v>66</v>
      </c>
      <c r="E137" s="2" t="s">
        <v>18</v>
      </c>
      <c r="F137" s="35" t="e">
        <v>#DIV/0!</v>
      </c>
      <c r="G137" s="7" t="e">
        <v>#DIV/0!</v>
      </c>
      <c r="H137" s="74" t="e">
        <v>#DIV/0!</v>
      </c>
      <c r="I137" s="74" t="e">
        <v>#DIV/0!</v>
      </c>
      <c r="J137" s="7" t="e">
        <v>#DIV/0!</v>
      </c>
      <c r="K137" s="7" t="e">
        <v>#DIV/0!</v>
      </c>
      <c r="L137" s="7" t="e">
        <v>#DIV/0!</v>
      </c>
      <c r="M137" s="7" t="e">
        <v>#DIV/0!</v>
      </c>
      <c r="N137" s="7" t="e">
        <v>#DIV/0!</v>
      </c>
      <c r="O137" s="7" t="e">
        <v>#DIV/0!</v>
      </c>
      <c r="P137" s="7" t="e">
        <v>#DIV/0!</v>
      </c>
      <c r="Q137" s="7" t="e">
        <v>#DIV/0!</v>
      </c>
      <c r="R137" s="7" t="e">
        <v>#DIV/0!</v>
      </c>
      <c r="S137" s="7" t="e">
        <v>#DIV/0!</v>
      </c>
      <c r="T137" s="7" t="e">
        <v>#DIV/0!</v>
      </c>
      <c r="U137" s="7" t="e">
        <v>#DIV/0!</v>
      </c>
      <c r="V137" s="7" t="e">
        <v>#DIV/0!</v>
      </c>
      <c r="W137" s="7" t="e">
        <v>#DIV/0!</v>
      </c>
      <c r="X137" s="7" t="e">
        <v>#DIV/0!</v>
      </c>
      <c r="Y137" s="7" t="e">
        <v>#DIV/0!</v>
      </c>
      <c r="Z137" s="7" t="e">
        <v>#DIV/0!</v>
      </c>
      <c r="AA137" s="7" t="e">
        <v>#DIV/0!</v>
      </c>
      <c r="AB137" s="7" t="e">
        <v>#DIV/0!</v>
      </c>
      <c r="AC137" s="7" t="e">
        <v>#DIV/0!</v>
      </c>
      <c r="AD137" s="7" t="e">
        <v>#DIV/0!</v>
      </c>
      <c r="AE137" s="7" t="e">
        <v>#DIV/0!</v>
      </c>
      <c r="AF137" s="7" t="e">
        <v>#DIV/0!</v>
      </c>
      <c r="AG137" s="7" t="e">
        <v>#DIV/0!</v>
      </c>
      <c r="AH137" s="7" t="e">
        <v>#DIV/0!</v>
      </c>
      <c r="AI137" s="7" t="e">
        <v>#DIV/0!</v>
      </c>
      <c r="AJ137" s="7" t="e">
        <v>#DIV/0!</v>
      </c>
      <c r="AK137" s="36" t="e">
        <v>#DIV/0!</v>
      </c>
      <c r="AL137" s="64"/>
    </row>
    <row r="138" spans="2:38" x14ac:dyDescent="0.2">
      <c r="B138" s="63"/>
      <c r="D138" s="2" t="s">
        <v>67</v>
      </c>
      <c r="E138" s="2" t="s">
        <v>18</v>
      </c>
      <c r="F138" s="35" t="e">
        <v>#DIV/0!</v>
      </c>
      <c r="G138" s="7" t="e">
        <v>#DIV/0!</v>
      </c>
      <c r="H138" s="74" t="e">
        <v>#DIV/0!</v>
      </c>
      <c r="I138" s="74" t="e">
        <v>#DIV/0!</v>
      </c>
      <c r="J138" s="7" t="e">
        <v>#DIV/0!</v>
      </c>
      <c r="K138" s="7" t="e">
        <v>#DIV/0!</v>
      </c>
      <c r="L138" s="7" t="e">
        <v>#DIV/0!</v>
      </c>
      <c r="M138" s="7" t="e">
        <v>#DIV/0!</v>
      </c>
      <c r="N138" s="7" t="e">
        <v>#DIV/0!</v>
      </c>
      <c r="O138" s="7" t="e">
        <v>#DIV/0!</v>
      </c>
      <c r="P138" s="7" t="e">
        <v>#DIV/0!</v>
      </c>
      <c r="Q138" s="7" t="e">
        <v>#DIV/0!</v>
      </c>
      <c r="R138" s="7" t="e">
        <v>#DIV/0!</v>
      </c>
      <c r="S138" s="7" t="e">
        <v>#DIV/0!</v>
      </c>
      <c r="T138" s="7" t="e">
        <v>#DIV/0!</v>
      </c>
      <c r="U138" s="7" t="e">
        <v>#DIV/0!</v>
      </c>
      <c r="V138" s="7" t="e">
        <v>#DIV/0!</v>
      </c>
      <c r="W138" s="7" t="e">
        <v>#DIV/0!</v>
      </c>
      <c r="X138" s="7" t="e">
        <v>#DIV/0!</v>
      </c>
      <c r="Y138" s="7" t="e">
        <v>#DIV/0!</v>
      </c>
      <c r="Z138" s="7" t="e">
        <v>#DIV/0!</v>
      </c>
      <c r="AA138" s="7" t="e">
        <v>#DIV/0!</v>
      </c>
      <c r="AB138" s="7" t="e">
        <v>#DIV/0!</v>
      </c>
      <c r="AC138" s="7" t="e">
        <v>#DIV/0!</v>
      </c>
      <c r="AD138" s="7" t="e">
        <v>#DIV/0!</v>
      </c>
      <c r="AE138" s="7" t="e">
        <v>#DIV/0!</v>
      </c>
      <c r="AF138" s="7" t="e">
        <v>#DIV/0!</v>
      </c>
      <c r="AG138" s="7" t="e">
        <v>#DIV/0!</v>
      </c>
      <c r="AH138" s="7" t="e">
        <v>#DIV/0!</v>
      </c>
      <c r="AI138" s="7" t="e">
        <v>#DIV/0!</v>
      </c>
      <c r="AJ138" s="7" t="e">
        <v>#DIV/0!</v>
      </c>
      <c r="AK138" s="36" t="e">
        <v>#DIV/0!</v>
      </c>
      <c r="AL138" s="64"/>
    </row>
    <row r="139" spans="2:38" x14ac:dyDescent="0.2">
      <c r="B139" s="63"/>
      <c r="D139" s="2" t="s">
        <v>13</v>
      </c>
      <c r="E139" s="2" t="s">
        <v>18</v>
      </c>
      <c r="F139" s="35" t="e">
        <v>#DIV/0!</v>
      </c>
      <c r="G139" s="7" t="e">
        <v>#DIV/0!</v>
      </c>
      <c r="H139" s="74" t="e">
        <v>#DIV/0!</v>
      </c>
      <c r="I139" s="74" t="e">
        <v>#DIV/0!</v>
      </c>
      <c r="J139" s="7" t="e">
        <v>#DIV/0!</v>
      </c>
      <c r="K139" s="7" t="e">
        <v>#DIV/0!</v>
      </c>
      <c r="L139" s="7" t="e">
        <v>#DIV/0!</v>
      </c>
      <c r="M139" s="7" t="e">
        <v>#DIV/0!</v>
      </c>
      <c r="N139" s="7" t="e">
        <v>#DIV/0!</v>
      </c>
      <c r="O139" s="7" t="e">
        <v>#DIV/0!</v>
      </c>
      <c r="P139" s="7" t="e">
        <v>#DIV/0!</v>
      </c>
      <c r="Q139" s="7" t="e">
        <v>#DIV/0!</v>
      </c>
      <c r="R139" s="7" t="e">
        <v>#DIV/0!</v>
      </c>
      <c r="S139" s="7" t="e">
        <v>#DIV/0!</v>
      </c>
      <c r="T139" s="7" t="e">
        <v>#DIV/0!</v>
      </c>
      <c r="U139" s="7" t="e">
        <v>#DIV/0!</v>
      </c>
      <c r="V139" s="7" t="e">
        <v>#DIV/0!</v>
      </c>
      <c r="W139" s="7" t="e">
        <v>#DIV/0!</v>
      </c>
      <c r="X139" s="7" t="e">
        <v>#DIV/0!</v>
      </c>
      <c r="Y139" s="7" t="e">
        <v>#DIV/0!</v>
      </c>
      <c r="Z139" s="7" t="e">
        <v>#DIV/0!</v>
      </c>
      <c r="AA139" s="7" t="e">
        <v>#DIV/0!</v>
      </c>
      <c r="AB139" s="7" t="e">
        <v>#DIV/0!</v>
      </c>
      <c r="AC139" s="7" t="e">
        <v>#DIV/0!</v>
      </c>
      <c r="AD139" s="7" t="e">
        <v>#DIV/0!</v>
      </c>
      <c r="AE139" s="7" t="e">
        <v>#DIV/0!</v>
      </c>
      <c r="AF139" s="7" t="e">
        <v>#DIV/0!</v>
      </c>
      <c r="AG139" s="7" t="e">
        <v>#DIV/0!</v>
      </c>
      <c r="AH139" s="7" t="e">
        <v>#DIV/0!</v>
      </c>
      <c r="AI139" s="7" t="e">
        <v>#DIV/0!</v>
      </c>
      <c r="AJ139" s="7" t="e">
        <v>#DIV/0!</v>
      </c>
      <c r="AK139" s="36" t="e">
        <v>#DIV/0!</v>
      </c>
      <c r="AL139" s="64"/>
    </row>
    <row r="140" spans="2:38" x14ac:dyDescent="0.2">
      <c r="B140" s="63"/>
      <c r="D140" s="2" t="s">
        <v>68</v>
      </c>
      <c r="E140" s="2" t="s">
        <v>18</v>
      </c>
      <c r="F140" s="35" t="e">
        <v>#DIV/0!</v>
      </c>
      <c r="G140" s="7" t="e">
        <v>#DIV/0!</v>
      </c>
      <c r="H140" s="74" t="e">
        <v>#DIV/0!</v>
      </c>
      <c r="I140" s="74" t="e">
        <v>#DIV/0!</v>
      </c>
      <c r="J140" s="7" t="e">
        <v>#DIV/0!</v>
      </c>
      <c r="K140" s="7" t="e">
        <v>#DIV/0!</v>
      </c>
      <c r="L140" s="7" t="e">
        <v>#DIV/0!</v>
      </c>
      <c r="M140" s="7" t="e">
        <v>#DIV/0!</v>
      </c>
      <c r="N140" s="7" t="e">
        <v>#DIV/0!</v>
      </c>
      <c r="O140" s="7" t="e">
        <v>#DIV/0!</v>
      </c>
      <c r="P140" s="7" t="e">
        <v>#DIV/0!</v>
      </c>
      <c r="Q140" s="7" t="e">
        <v>#DIV/0!</v>
      </c>
      <c r="R140" s="7" t="e">
        <v>#DIV/0!</v>
      </c>
      <c r="S140" s="7" t="e">
        <v>#DIV/0!</v>
      </c>
      <c r="T140" s="7" t="e">
        <v>#DIV/0!</v>
      </c>
      <c r="U140" s="7" t="e">
        <v>#DIV/0!</v>
      </c>
      <c r="V140" s="7" t="e">
        <v>#DIV/0!</v>
      </c>
      <c r="W140" s="7" t="e">
        <v>#DIV/0!</v>
      </c>
      <c r="X140" s="7" t="e">
        <v>#DIV/0!</v>
      </c>
      <c r="Y140" s="7" t="e">
        <v>#DIV/0!</v>
      </c>
      <c r="Z140" s="7" t="e">
        <v>#DIV/0!</v>
      </c>
      <c r="AA140" s="7" t="e">
        <v>#DIV/0!</v>
      </c>
      <c r="AB140" s="7" t="e">
        <v>#DIV/0!</v>
      </c>
      <c r="AC140" s="7" t="e">
        <v>#DIV/0!</v>
      </c>
      <c r="AD140" s="7" t="e">
        <v>#DIV/0!</v>
      </c>
      <c r="AE140" s="7" t="e">
        <v>#DIV/0!</v>
      </c>
      <c r="AF140" s="7" t="e">
        <v>#DIV/0!</v>
      </c>
      <c r="AG140" s="7" t="e">
        <v>#DIV/0!</v>
      </c>
      <c r="AH140" s="7" t="e">
        <v>#DIV/0!</v>
      </c>
      <c r="AI140" s="7" t="e">
        <v>#DIV/0!</v>
      </c>
      <c r="AJ140" s="7" t="e">
        <v>#DIV/0!</v>
      </c>
      <c r="AK140" s="36" t="e">
        <v>#DIV/0!</v>
      </c>
      <c r="AL140" s="64"/>
    </row>
    <row r="141" spans="2:38" x14ac:dyDescent="0.2">
      <c r="B141" s="63"/>
      <c r="D141" s="2" t="s">
        <v>69</v>
      </c>
      <c r="E141" s="2" t="s">
        <v>18</v>
      </c>
      <c r="F141" s="35" t="e">
        <v>#DIV/0!</v>
      </c>
      <c r="G141" s="7" t="e">
        <v>#DIV/0!</v>
      </c>
      <c r="H141" s="74" t="e">
        <v>#DIV/0!</v>
      </c>
      <c r="I141" s="74" t="e">
        <v>#DIV/0!</v>
      </c>
      <c r="J141" s="7" t="e">
        <v>#DIV/0!</v>
      </c>
      <c r="K141" s="7" t="e">
        <v>#DIV/0!</v>
      </c>
      <c r="L141" s="7" t="e">
        <v>#DIV/0!</v>
      </c>
      <c r="M141" s="7" t="e">
        <v>#DIV/0!</v>
      </c>
      <c r="N141" s="7" t="e">
        <v>#DIV/0!</v>
      </c>
      <c r="O141" s="7" t="e">
        <v>#DIV/0!</v>
      </c>
      <c r="P141" s="7" t="e">
        <v>#DIV/0!</v>
      </c>
      <c r="Q141" s="7" t="e">
        <v>#DIV/0!</v>
      </c>
      <c r="R141" s="7" t="e">
        <v>#DIV/0!</v>
      </c>
      <c r="S141" s="7" t="e">
        <v>#DIV/0!</v>
      </c>
      <c r="T141" s="7" t="e">
        <v>#DIV/0!</v>
      </c>
      <c r="U141" s="7" t="e">
        <v>#DIV/0!</v>
      </c>
      <c r="V141" s="7" t="e">
        <v>#DIV/0!</v>
      </c>
      <c r="W141" s="7" t="e">
        <v>#DIV/0!</v>
      </c>
      <c r="X141" s="7" t="e">
        <v>#DIV/0!</v>
      </c>
      <c r="Y141" s="7" t="e">
        <v>#DIV/0!</v>
      </c>
      <c r="Z141" s="7" t="e">
        <v>#DIV/0!</v>
      </c>
      <c r="AA141" s="7" t="e">
        <v>#DIV/0!</v>
      </c>
      <c r="AB141" s="7" t="e">
        <v>#DIV/0!</v>
      </c>
      <c r="AC141" s="7" t="e">
        <v>#DIV/0!</v>
      </c>
      <c r="AD141" s="7" t="e">
        <v>#DIV/0!</v>
      </c>
      <c r="AE141" s="7" t="e">
        <v>#DIV/0!</v>
      </c>
      <c r="AF141" s="7" t="e">
        <v>#DIV/0!</v>
      </c>
      <c r="AG141" s="7" t="e">
        <v>#DIV/0!</v>
      </c>
      <c r="AH141" s="7" t="e">
        <v>#DIV/0!</v>
      </c>
      <c r="AI141" s="7" t="e">
        <v>#DIV/0!</v>
      </c>
      <c r="AJ141" s="7" t="e">
        <v>#DIV/0!</v>
      </c>
      <c r="AK141" s="36" t="e">
        <v>#DIV/0!</v>
      </c>
      <c r="AL141" s="64"/>
    </row>
    <row r="142" spans="2:38" x14ac:dyDescent="0.2">
      <c r="B142" s="63"/>
      <c r="D142" s="2" t="s">
        <v>70</v>
      </c>
      <c r="E142" s="2" t="s">
        <v>18</v>
      </c>
      <c r="F142" s="35" t="e">
        <v>#DIV/0!</v>
      </c>
      <c r="G142" s="7" t="e">
        <v>#DIV/0!</v>
      </c>
      <c r="H142" s="74" t="e">
        <v>#DIV/0!</v>
      </c>
      <c r="I142" s="74" t="e">
        <v>#DIV/0!</v>
      </c>
      <c r="J142" s="7" t="e">
        <v>#DIV/0!</v>
      </c>
      <c r="K142" s="7" t="e">
        <v>#DIV/0!</v>
      </c>
      <c r="L142" s="7" t="e">
        <v>#DIV/0!</v>
      </c>
      <c r="M142" s="7" t="e">
        <v>#DIV/0!</v>
      </c>
      <c r="N142" s="7" t="e">
        <v>#DIV/0!</v>
      </c>
      <c r="O142" s="7" t="e">
        <v>#DIV/0!</v>
      </c>
      <c r="P142" s="7" t="e">
        <v>#DIV/0!</v>
      </c>
      <c r="Q142" s="7" t="e">
        <v>#DIV/0!</v>
      </c>
      <c r="R142" s="7" t="e">
        <v>#DIV/0!</v>
      </c>
      <c r="S142" s="7" t="e">
        <v>#DIV/0!</v>
      </c>
      <c r="T142" s="7" t="e">
        <v>#DIV/0!</v>
      </c>
      <c r="U142" s="7" t="e">
        <v>#DIV/0!</v>
      </c>
      <c r="V142" s="7" t="e">
        <v>#DIV/0!</v>
      </c>
      <c r="W142" s="7" t="e">
        <v>#DIV/0!</v>
      </c>
      <c r="X142" s="7" t="e">
        <v>#DIV/0!</v>
      </c>
      <c r="Y142" s="7" t="e">
        <v>#DIV/0!</v>
      </c>
      <c r="Z142" s="7" t="e">
        <v>#DIV/0!</v>
      </c>
      <c r="AA142" s="7" t="e">
        <v>#DIV/0!</v>
      </c>
      <c r="AB142" s="7" t="e">
        <v>#DIV/0!</v>
      </c>
      <c r="AC142" s="7" t="e">
        <v>#DIV/0!</v>
      </c>
      <c r="AD142" s="7" t="e">
        <v>#DIV/0!</v>
      </c>
      <c r="AE142" s="7" t="e">
        <v>#DIV/0!</v>
      </c>
      <c r="AF142" s="7" t="e">
        <v>#DIV/0!</v>
      </c>
      <c r="AG142" s="7" t="e">
        <v>#DIV/0!</v>
      </c>
      <c r="AH142" s="7" t="e">
        <v>#DIV/0!</v>
      </c>
      <c r="AI142" s="7" t="e">
        <v>#DIV/0!</v>
      </c>
      <c r="AJ142" s="7" t="e">
        <v>#DIV/0!</v>
      </c>
      <c r="AK142" s="36" t="e">
        <v>#DIV/0!</v>
      </c>
      <c r="AL142" s="64"/>
    </row>
    <row r="143" spans="2:38" x14ac:dyDescent="0.2">
      <c r="B143" s="63"/>
      <c r="D143" s="2" t="s">
        <v>71</v>
      </c>
      <c r="E143" s="2" t="s">
        <v>18</v>
      </c>
      <c r="F143" s="35" t="e">
        <v>#DIV/0!</v>
      </c>
      <c r="G143" s="7" t="e">
        <v>#DIV/0!</v>
      </c>
      <c r="H143" s="74" t="e">
        <v>#DIV/0!</v>
      </c>
      <c r="I143" s="74" t="e">
        <v>#DIV/0!</v>
      </c>
      <c r="J143" s="7" t="e">
        <v>#DIV/0!</v>
      </c>
      <c r="K143" s="7" t="e">
        <v>#DIV/0!</v>
      </c>
      <c r="L143" s="7" t="e">
        <v>#DIV/0!</v>
      </c>
      <c r="M143" s="7" t="e">
        <v>#DIV/0!</v>
      </c>
      <c r="N143" s="7" t="e">
        <v>#DIV/0!</v>
      </c>
      <c r="O143" s="7" t="e">
        <v>#DIV/0!</v>
      </c>
      <c r="P143" s="7" t="e">
        <v>#DIV/0!</v>
      </c>
      <c r="Q143" s="7" t="e">
        <v>#DIV/0!</v>
      </c>
      <c r="R143" s="7" t="e">
        <v>#DIV/0!</v>
      </c>
      <c r="S143" s="7" t="e">
        <v>#DIV/0!</v>
      </c>
      <c r="T143" s="7" t="e">
        <v>#DIV/0!</v>
      </c>
      <c r="U143" s="7" t="e">
        <v>#DIV/0!</v>
      </c>
      <c r="V143" s="7" t="e">
        <v>#DIV/0!</v>
      </c>
      <c r="W143" s="7" t="e">
        <v>#DIV/0!</v>
      </c>
      <c r="X143" s="7" t="e">
        <v>#DIV/0!</v>
      </c>
      <c r="Y143" s="7" t="e">
        <v>#DIV/0!</v>
      </c>
      <c r="Z143" s="7" t="e">
        <v>#DIV/0!</v>
      </c>
      <c r="AA143" s="7" t="e">
        <v>#DIV/0!</v>
      </c>
      <c r="AB143" s="7" t="e">
        <v>#DIV/0!</v>
      </c>
      <c r="AC143" s="7" t="e">
        <v>#DIV/0!</v>
      </c>
      <c r="AD143" s="7" t="e">
        <v>#DIV/0!</v>
      </c>
      <c r="AE143" s="7" t="e">
        <v>#DIV/0!</v>
      </c>
      <c r="AF143" s="7" t="e">
        <v>#DIV/0!</v>
      </c>
      <c r="AG143" s="7" t="e">
        <v>#DIV/0!</v>
      </c>
      <c r="AH143" s="7" t="e">
        <v>#DIV/0!</v>
      </c>
      <c r="AI143" s="7" t="e">
        <v>#DIV/0!</v>
      </c>
      <c r="AJ143" s="7" t="e">
        <v>#DIV/0!</v>
      </c>
      <c r="AK143" s="36" t="e">
        <v>#DIV/0!</v>
      </c>
      <c r="AL143" s="64"/>
    </row>
    <row r="144" spans="2:38" x14ac:dyDescent="0.2">
      <c r="B144" s="63"/>
      <c r="D144" s="2" t="s">
        <v>72</v>
      </c>
      <c r="E144" s="2" t="s">
        <v>18</v>
      </c>
      <c r="F144" s="35" t="e">
        <v>#DIV/0!</v>
      </c>
      <c r="G144" s="7" t="e">
        <v>#DIV/0!</v>
      </c>
      <c r="H144" s="74" t="e">
        <v>#DIV/0!</v>
      </c>
      <c r="I144" s="74" t="e">
        <v>#DIV/0!</v>
      </c>
      <c r="J144" s="7" t="e">
        <v>#DIV/0!</v>
      </c>
      <c r="K144" s="7" t="e">
        <v>#DIV/0!</v>
      </c>
      <c r="L144" s="7" t="e">
        <v>#DIV/0!</v>
      </c>
      <c r="M144" s="7" t="e">
        <v>#DIV/0!</v>
      </c>
      <c r="N144" s="7" t="e">
        <v>#DIV/0!</v>
      </c>
      <c r="O144" s="7" t="e">
        <v>#DIV/0!</v>
      </c>
      <c r="P144" s="7" t="e">
        <v>#DIV/0!</v>
      </c>
      <c r="Q144" s="7" t="e">
        <v>#DIV/0!</v>
      </c>
      <c r="R144" s="7" t="e">
        <v>#DIV/0!</v>
      </c>
      <c r="S144" s="7" t="e">
        <v>#DIV/0!</v>
      </c>
      <c r="T144" s="7" t="e">
        <v>#DIV/0!</v>
      </c>
      <c r="U144" s="7" t="e">
        <v>#DIV/0!</v>
      </c>
      <c r="V144" s="7" t="e">
        <v>#DIV/0!</v>
      </c>
      <c r="W144" s="7" t="e">
        <v>#DIV/0!</v>
      </c>
      <c r="X144" s="7" t="e">
        <v>#DIV/0!</v>
      </c>
      <c r="Y144" s="7" t="e">
        <v>#DIV/0!</v>
      </c>
      <c r="Z144" s="7" t="e">
        <v>#DIV/0!</v>
      </c>
      <c r="AA144" s="7" t="e">
        <v>#DIV/0!</v>
      </c>
      <c r="AB144" s="7" t="e">
        <v>#DIV/0!</v>
      </c>
      <c r="AC144" s="7" t="e">
        <v>#DIV/0!</v>
      </c>
      <c r="AD144" s="7" t="e">
        <v>#DIV/0!</v>
      </c>
      <c r="AE144" s="7" t="e">
        <v>#DIV/0!</v>
      </c>
      <c r="AF144" s="7" t="e">
        <v>#DIV/0!</v>
      </c>
      <c r="AG144" s="7" t="e">
        <v>#DIV/0!</v>
      </c>
      <c r="AH144" s="7" t="e">
        <v>#DIV/0!</v>
      </c>
      <c r="AI144" s="7" t="e">
        <v>#DIV/0!</v>
      </c>
      <c r="AJ144" s="7" t="e">
        <v>#DIV/0!</v>
      </c>
      <c r="AK144" s="36" t="e">
        <v>#DIV/0!</v>
      </c>
      <c r="AL144" s="64"/>
    </row>
    <row r="145" spans="2:38" x14ac:dyDescent="0.2">
      <c r="B145" s="63"/>
      <c r="D145" s="2" t="s">
        <v>73</v>
      </c>
      <c r="E145" s="2" t="s">
        <v>18</v>
      </c>
      <c r="F145" s="35" t="e">
        <v>#DIV/0!</v>
      </c>
      <c r="G145" s="7" t="e">
        <v>#DIV/0!</v>
      </c>
      <c r="H145" s="74" t="e">
        <v>#DIV/0!</v>
      </c>
      <c r="I145" s="74" t="e">
        <v>#DIV/0!</v>
      </c>
      <c r="J145" s="7" t="e">
        <v>#DIV/0!</v>
      </c>
      <c r="K145" s="7" t="e">
        <v>#DIV/0!</v>
      </c>
      <c r="L145" s="7" t="e">
        <v>#DIV/0!</v>
      </c>
      <c r="M145" s="7" t="e">
        <v>#DIV/0!</v>
      </c>
      <c r="N145" s="7" t="e">
        <v>#DIV/0!</v>
      </c>
      <c r="O145" s="7" t="e">
        <v>#DIV/0!</v>
      </c>
      <c r="P145" s="7" t="e">
        <v>#DIV/0!</v>
      </c>
      <c r="Q145" s="7" t="e">
        <v>#DIV/0!</v>
      </c>
      <c r="R145" s="7" t="e">
        <v>#DIV/0!</v>
      </c>
      <c r="S145" s="7" t="e">
        <v>#DIV/0!</v>
      </c>
      <c r="T145" s="7" t="e">
        <v>#DIV/0!</v>
      </c>
      <c r="U145" s="7" t="e">
        <v>#DIV/0!</v>
      </c>
      <c r="V145" s="7" t="e">
        <v>#DIV/0!</v>
      </c>
      <c r="W145" s="7" t="e">
        <v>#DIV/0!</v>
      </c>
      <c r="X145" s="7" t="e">
        <v>#DIV/0!</v>
      </c>
      <c r="Y145" s="7" t="e">
        <v>#DIV/0!</v>
      </c>
      <c r="Z145" s="7" t="e">
        <v>#DIV/0!</v>
      </c>
      <c r="AA145" s="7" t="e">
        <v>#DIV/0!</v>
      </c>
      <c r="AB145" s="7" t="e">
        <v>#DIV/0!</v>
      </c>
      <c r="AC145" s="7" t="e">
        <v>#DIV/0!</v>
      </c>
      <c r="AD145" s="7" t="e">
        <v>#DIV/0!</v>
      </c>
      <c r="AE145" s="7" t="e">
        <v>#DIV/0!</v>
      </c>
      <c r="AF145" s="7" t="e">
        <v>#DIV/0!</v>
      </c>
      <c r="AG145" s="7" t="e">
        <v>#DIV/0!</v>
      </c>
      <c r="AH145" s="7" t="e">
        <v>#DIV/0!</v>
      </c>
      <c r="AI145" s="7" t="e">
        <v>#DIV/0!</v>
      </c>
      <c r="AJ145" s="7" t="e">
        <v>#DIV/0!</v>
      </c>
      <c r="AK145" s="36" t="e">
        <v>#DIV/0!</v>
      </c>
      <c r="AL145" s="64"/>
    </row>
    <row r="146" spans="2:38" x14ac:dyDescent="0.2">
      <c r="B146" s="63"/>
      <c r="D146" s="2" t="s">
        <v>74</v>
      </c>
      <c r="E146" s="2" t="s">
        <v>18</v>
      </c>
      <c r="F146" s="35" t="e">
        <v>#DIV/0!</v>
      </c>
      <c r="G146" s="7" t="e">
        <v>#DIV/0!</v>
      </c>
      <c r="H146" s="74" t="e">
        <v>#DIV/0!</v>
      </c>
      <c r="I146" s="74" t="e">
        <v>#DIV/0!</v>
      </c>
      <c r="J146" s="7" t="e">
        <v>#DIV/0!</v>
      </c>
      <c r="K146" s="7" t="e">
        <v>#DIV/0!</v>
      </c>
      <c r="L146" s="7" t="e">
        <v>#DIV/0!</v>
      </c>
      <c r="M146" s="7" t="e">
        <v>#DIV/0!</v>
      </c>
      <c r="N146" s="7" t="e">
        <v>#DIV/0!</v>
      </c>
      <c r="O146" s="7" t="e">
        <v>#DIV/0!</v>
      </c>
      <c r="P146" s="7" t="e">
        <v>#DIV/0!</v>
      </c>
      <c r="Q146" s="7" t="e">
        <v>#DIV/0!</v>
      </c>
      <c r="R146" s="7" t="e">
        <v>#DIV/0!</v>
      </c>
      <c r="S146" s="7" t="e">
        <v>#DIV/0!</v>
      </c>
      <c r="T146" s="7" t="e">
        <v>#DIV/0!</v>
      </c>
      <c r="U146" s="7" t="e">
        <v>#DIV/0!</v>
      </c>
      <c r="V146" s="7" t="e">
        <v>#DIV/0!</v>
      </c>
      <c r="W146" s="7" t="e">
        <v>#DIV/0!</v>
      </c>
      <c r="X146" s="7" t="e">
        <v>#DIV/0!</v>
      </c>
      <c r="Y146" s="7" t="e">
        <v>#DIV/0!</v>
      </c>
      <c r="Z146" s="7" t="e">
        <v>#DIV/0!</v>
      </c>
      <c r="AA146" s="7" t="e">
        <v>#DIV/0!</v>
      </c>
      <c r="AB146" s="7" t="e">
        <v>#DIV/0!</v>
      </c>
      <c r="AC146" s="7" t="e">
        <v>#DIV/0!</v>
      </c>
      <c r="AD146" s="7" t="e">
        <v>#DIV/0!</v>
      </c>
      <c r="AE146" s="7" t="e">
        <v>#DIV/0!</v>
      </c>
      <c r="AF146" s="7" t="e">
        <v>#DIV/0!</v>
      </c>
      <c r="AG146" s="7" t="e">
        <v>#DIV/0!</v>
      </c>
      <c r="AH146" s="7" t="e">
        <v>#DIV/0!</v>
      </c>
      <c r="AI146" s="7" t="e">
        <v>#DIV/0!</v>
      </c>
      <c r="AJ146" s="7" t="e">
        <v>#DIV/0!</v>
      </c>
      <c r="AK146" s="36" t="e">
        <v>#DIV/0!</v>
      </c>
      <c r="AL146" s="64"/>
    </row>
    <row r="147" spans="2:38" x14ac:dyDescent="0.2">
      <c r="B147" s="63"/>
      <c r="D147" s="2" t="s">
        <v>51</v>
      </c>
      <c r="E147" s="2" t="s">
        <v>95</v>
      </c>
      <c r="F147" s="35" t="e">
        <v>#DIV/0!</v>
      </c>
      <c r="G147" s="74" t="e">
        <v>#DIV/0!</v>
      </c>
      <c r="H147" s="74" t="e">
        <v>#DIV/0!</v>
      </c>
      <c r="I147" s="74" t="e">
        <v>#DIV/0!</v>
      </c>
      <c r="J147" s="7" t="e">
        <v>#DIV/0!</v>
      </c>
      <c r="K147" s="7" t="e">
        <v>#DIV/0!</v>
      </c>
      <c r="L147" s="7" t="e">
        <v>#DIV/0!</v>
      </c>
      <c r="M147" s="7" t="e">
        <v>#DIV/0!</v>
      </c>
      <c r="N147" s="7" t="e">
        <v>#DIV/0!</v>
      </c>
      <c r="O147" s="7" t="e">
        <v>#DIV/0!</v>
      </c>
      <c r="P147" s="7" t="e">
        <v>#DIV/0!</v>
      </c>
      <c r="Q147" s="7" t="e">
        <v>#DIV/0!</v>
      </c>
      <c r="R147" s="7" t="e">
        <v>#DIV/0!</v>
      </c>
      <c r="S147" s="7" t="e">
        <v>#DIV/0!</v>
      </c>
      <c r="T147" s="7" t="e">
        <v>#DIV/0!</v>
      </c>
      <c r="U147" s="7" t="e">
        <v>#DIV/0!</v>
      </c>
      <c r="V147" s="7" t="e">
        <v>#DIV/0!</v>
      </c>
      <c r="W147" s="7" t="e">
        <v>#DIV/0!</v>
      </c>
      <c r="X147" s="7" t="e">
        <v>#DIV/0!</v>
      </c>
      <c r="Y147" s="7" t="e">
        <v>#DIV/0!</v>
      </c>
      <c r="Z147" s="7" t="e">
        <v>#DIV/0!</v>
      </c>
      <c r="AA147" s="7" t="e">
        <v>#DIV/0!</v>
      </c>
      <c r="AB147" s="7" t="e">
        <v>#DIV/0!</v>
      </c>
      <c r="AC147" s="7" t="e">
        <v>#DIV/0!</v>
      </c>
      <c r="AD147" s="7" t="e">
        <v>#DIV/0!</v>
      </c>
      <c r="AE147" s="7" t="e">
        <v>#DIV/0!</v>
      </c>
      <c r="AF147" s="7" t="e">
        <v>#DIV/0!</v>
      </c>
      <c r="AG147" s="7" t="e">
        <v>#DIV/0!</v>
      </c>
      <c r="AH147" s="7" t="e">
        <v>#DIV/0!</v>
      </c>
      <c r="AI147" s="7" t="e">
        <v>#DIV/0!</v>
      </c>
      <c r="AJ147" s="7" t="e">
        <v>#DIV/0!</v>
      </c>
      <c r="AK147" s="36" t="e">
        <v>#DIV/0!</v>
      </c>
      <c r="AL147" s="64"/>
    </row>
    <row r="148" spans="2:38" x14ac:dyDescent="0.2">
      <c r="B148" s="63"/>
      <c r="D148" s="2" t="s">
        <v>50</v>
      </c>
      <c r="E148" s="2" t="s">
        <v>95</v>
      </c>
      <c r="F148" s="35" t="e">
        <v>#DIV/0!</v>
      </c>
      <c r="G148" s="7" t="e">
        <v>#DIV/0!</v>
      </c>
      <c r="H148" s="7" t="e">
        <v>#DIV/0!</v>
      </c>
      <c r="I148" s="7" t="e">
        <v>#DIV/0!</v>
      </c>
      <c r="J148" s="7" t="e">
        <v>#DIV/0!</v>
      </c>
      <c r="K148" s="7" t="e">
        <v>#DIV/0!</v>
      </c>
      <c r="L148" s="7" t="e">
        <v>#DIV/0!</v>
      </c>
      <c r="M148" s="7" t="e">
        <v>#DIV/0!</v>
      </c>
      <c r="N148" s="7" t="e">
        <v>#DIV/0!</v>
      </c>
      <c r="O148" s="7" t="e">
        <v>#DIV/0!</v>
      </c>
      <c r="P148" s="7" t="e">
        <v>#DIV/0!</v>
      </c>
      <c r="Q148" s="7" t="e">
        <v>#DIV/0!</v>
      </c>
      <c r="R148" s="7" t="e">
        <v>#DIV/0!</v>
      </c>
      <c r="S148" s="7" t="e">
        <v>#DIV/0!</v>
      </c>
      <c r="T148" s="7" t="e">
        <v>#DIV/0!</v>
      </c>
      <c r="U148" s="7" t="e">
        <v>#DIV/0!</v>
      </c>
      <c r="V148" s="7" t="e">
        <v>#DIV/0!</v>
      </c>
      <c r="W148" s="7" t="e">
        <v>#DIV/0!</v>
      </c>
      <c r="X148" s="7" t="e">
        <v>#DIV/0!</v>
      </c>
      <c r="Y148" s="7" t="e">
        <v>#DIV/0!</v>
      </c>
      <c r="Z148" s="7" t="e">
        <v>#DIV/0!</v>
      </c>
      <c r="AA148" s="7" t="e">
        <v>#DIV/0!</v>
      </c>
      <c r="AB148" s="7" t="e">
        <v>#DIV/0!</v>
      </c>
      <c r="AC148" s="7" t="e">
        <v>#DIV/0!</v>
      </c>
      <c r="AD148" s="7" t="e">
        <v>#DIV/0!</v>
      </c>
      <c r="AE148" s="7" t="e">
        <v>#DIV/0!</v>
      </c>
      <c r="AF148" s="7" t="e">
        <v>#DIV/0!</v>
      </c>
      <c r="AG148" s="7" t="e">
        <v>#DIV/0!</v>
      </c>
      <c r="AH148" s="7" t="e">
        <v>#DIV/0!</v>
      </c>
      <c r="AI148" s="7" t="e">
        <v>#DIV/0!</v>
      </c>
      <c r="AJ148" s="7" t="e">
        <v>#DIV/0!</v>
      </c>
      <c r="AK148" s="36" t="e">
        <v>#DIV/0!</v>
      </c>
      <c r="AL148" s="64"/>
    </row>
    <row r="149" spans="2:38" x14ac:dyDescent="0.2">
      <c r="B149" s="63"/>
      <c r="D149" s="2" t="s">
        <v>44</v>
      </c>
      <c r="E149" s="2" t="s">
        <v>95</v>
      </c>
      <c r="F149" s="35" t="e">
        <v>#DIV/0!</v>
      </c>
      <c r="G149" s="7" t="e">
        <v>#DIV/0!</v>
      </c>
      <c r="H149" s="7" t="e">
        <v>#DIV/0!</v>
      </c>
      <c r="I149" s="7" t="e">
        <v>#DIV/0!</v>
      </c>
      <c r="J149" s="7" t="e">
        <v>#DIV/0!</v>
      </c>
      <c r="K149" s="7" t="e">
        <v>#DIV/0!</v>
      </c>
      <c r="L149" s="7" t="e">
        <v>#DIV/0!</v>
      </c>
      <c r="M149" s="7" t="e">
        <v>#DIV/0!</v>
      </c>
      <c r="N149" s="7" t="e">
        <v>#DIV/0!</v>
      </c>
      <c r="O149" s="7" t="e">
        <v>#DIV/0!</v>
      </c>
      <c r="P149" s="7" t="e">
        <v>#DIV/0!</v>
      </c>
      <c r="Q149" s="7" t="e">
        <v>#DIV/0!</v>
      </c>
      <c r="R149" s="7" t="e">
        <v>#DIV/0!</v>
      </c>
      <c r="S149" s="7" t="e">
        <v>#DIV/0!</v>
      </c>
      <c r="T149" s="7" t="e">
        <v>#DIV/0!</v>
      </c>
      <c r="U149" s="7" t="e">
        <v>#DIV/0!</v>
      </c>
      <c r="V149" s="7" t="e">
        <v>#DIV/0!</v>
      </c>
      <c r="W149" s="7" t="e">
        <v>#DIV/0!</v>
      </c>
      <c r="X149" s="7" t="e">
        <v>#DIV/0!</v>
      </c>
      <c r="Y149" s="7" t="e">
        <v>#DIV/0!</v>
      </c>
      <c r="Z149" s="7" t="e">
        <v>#DIV/0!</v>
      </c>
      <c r="AA149" s="74" t="e">
        <v>#DIV/0!</v>
      </c>
      <c r="AB149" s="74" t="e">
        <v>#DIV/0!</v>
      </c>
      <c r="AC149" s="7" t="e">
        <v>#DIV/0!</v>
      </c>
      <c r="AD149" s="7" t="e">
        <v>#DIV/0!</v>
      </c>
      <c r="AE149" s="7" t="e">
        <v>#DIV/0!</v>
      </c>
      <c r="AF149" s="7" t="e">
        <v>#DIV/0!</v>
      </c>
      <c r="AG149" s="7" t="e">
        <v>#DIV/0!</v>
      </c>
      <c r="AH149" s="7" t="e">
        <v>#DIV/0!</v>
      </c>
      <c r="AI149" s="7" t="e">
        <v>#DIV/0!</v>
      </c>
      <c r="AJ149" s="7" t="e">
        <v>#DIV/0!</v>
      </c>
      <c r="AK149" s="36" t="e">
        <v>#DIV/0!</v>
      </c>
      <c r="AL149" s="64"/>
    </row>
    <row r="150" spans="2:38" x14ac:dyDescent="0.2">
      <c r="B150" s="63"/>
      <c r="D150" s="2" t="s">
        <v>45</v>
      </c>
      <c r="E150" s="2" t="s">
        <v>95</v>
      </c>
      <c r="F150" s="35" t="e">
        <v>#DIV/0!</v>
      </c>
      <c r="G150" s="7" t="e">
        <v>#DIV/0!</v>
      </c>
      <c r="H150" s="7" t="e">
        <v>#DIV/0!</v>
      </c>
      <c r="I150" s="7" t="e">
        <v>#DIV/0!</v>
      </c>
      <c r="J150" s="7" t="e">
        <v>#DIV/0!</v>
      </c>
      <c r="K150" s="7" t="e">
        <v>#DIV/0!</v>
      </c>
      <c r="L150" s="7" t="e">
        <v>#DIV/0!</v>
      </c>
      <c r="M150" s="7" t="e">
        <v>#DIV/0!</v>
      </c>
      <c r="N150" s="7" t="e">
        <v>#DIV/0!</v>
      </c>
      <c r="O150" s="7" t="e">
        <v>#DIV/0!</v>
      </c>
      <c r="P150" s="7" t="e">
        <v>#DIV/0!</v>
      </c>
      <c r="Q150" s="7" t="e">
        <v>#DIV/0!</v>
      </c>
      <c r="R150" s="7" t="e">
        <v>#DIV/0!</v>
      </c>
      <c r="S150" s="7" t="e">
        <v>#DIV/0!</v>
      </c>
      <c r="T150" s="7" t="e">
        <v>#DIV/0!</v>
      </c>
      <c r="U150" s="7" t="e">
        <v>#DIV/0!</v>
      </c>
      <c r="V150" s="7" t="e">
        <v>#DIV/0!</v>
      </c>
      <c r="W150" s="7" t="e">
        <v>#DIV/0!</v>
      </c>
      <c r="X150" s="7" t="e">
        <v>#DIV/0!</v>
      </c>
      <c r="Y150" s="7" t="e">
        <v>#DIV/0!</v>
      </c>
      <c r="Z150" s="7" t="e">
        <v>#DIV/0!</v>
      </c>
      <c r="AA150" s="74" t="e">
        <v>#DIV/0!</v>
      </c>
      <c r="AB150" s="74" t="e">
        <v>#DIV/0!</v>
      </c>
      <c r="AC150" s="7" t="e">
        <v>#DIV/0!</v>
      </c>
      <c r="AD150" s="7" t="e">
        <v>#DIV/0!</v>
      </c>
      <c r="AE150" s="7" t="e">
        <v>#DIV/0!</v>
      </c>
      <c r="AF150" s="7" t="e">
        <v>#DIV/0!</v>
      </c>
      <c r="AG150" s="7" t="e">
        <v>#DIV/0!</v>
      </c>
      <c r="AH150" s="7" t="e">
        <v>#DIV/0!</v>
      </c>
      <c r="AI150" s="7" t="e">
        <v>#DIV/0!</v>
      </c>
      <c r="AJ150" s="7" t="e">
        <v>#DIV/0!</v>
      </c>
      <c r="AK150" s="36" t="e">
        <v>#DIV/0!</v>
      </c>
      <c r="AL150" s="64"/>
    </row>
    <row r="151" spans="2:38" x14ac:dyDescent="0.2">
      <c r="B151" s="63"/>
      <c r="D151" s="2" t="s">
        <v>46</v>
      </c>
      <c r="E151" s="2" t="s">
        <v>95</v>
      </c>
      <c r="F151" s="35" t="e">
        <v>#DIV/0!</v>
      </c>
      <c r="G151" s="7" t="e">
        <v>#DIV/0!</v>
      </c>
      <c r="H151" s="7" t="e">
        <v>#DIV/0!</v>
      </c>
      <c r="I151" s="7" t="e">
        <v>#DIV/0!</v>
      </c>
      <c r="J151" s="7" t="e">
        <v>#DIV/0!</v>
      </c>
      <c r="K151" s="7" t="e">
        <v>#DIV/0!</v>
      </c>
      <c r="L151" s="7" t="e">
        <v>#DIV/0!</v>
      </c>
      <c r="M151" s="7" t="e">
        <v>#DIV/0!</v>
      </c>
      <c r="N151" s="7" t="e">
        <v>#DIV/0!</v>
      </c>
      <c r="O151" s="7" t="e">
        <v>#DIV/0!</v>
      </c>
      <c r="P151" s="7" t="e">
        <v>#DIV/0!</v>
      </c>
      <c r="Q151" s="7" t="e">
        <v>#DIV/0!</v>
      </c>
      <c r="R151" s="7" t="e">
        <v>#DIV/0!</v>
      </c>
      <c r="S151" s="7" t="e">
        <v>#DIV/0!</v>
      </c>
      <c r="T151" s="7" t="e">
        <v>#DIV/0!</v>
      </c>
      <c r="U151" s="7" t="e">
        <v>#DIV/0!</v>
      </c>
      <c r="V151" s="7" t="e">
        <v>#DIV/0!</v>
      </c>
      <c r="W151" s="7" t="e">
        <v>#DIV/0!</v>
      </c>
      <c r="X151" s="7" t="e">
        <v>#DIV/0!</v>
      </c>
      <c r="Y151" s="7" t="e">
        <v>#DIV/0!</v>
      </c>
      <c r="Z151" s="7" t="e">
        <v>#DIV/0!</v>
      </c>
      <c r="AA151" s="74" t="e">
        <v>#DIV/0!</v>
      </c>
      <c r="AB151" s="74" t="e">
        <v>#DIV/0!</v>
      </c>
      <c r="AC151" s="7" t="e">
        <v>#DIV/0!</v>
      </c>
      <c r="AD151" s="7" t="e">
        <v>#DIV/0!</v>
      </c>
      <c r="AE151" s="7" t="e">
        <v>#DIV/0!</v>
      </c>
      <c r="AF151" s="7" t="e">
        <v>#DIV/0!</v>
      </c>
      <c r="AG151" s="7" t="e">
        <v>#DIV/0!</v>
      </c>
      <c r="AH151" s="7" t="e">
        <v>#DIV/0!</v>
      </c>
      <c r="AI151" s="7" t="e">
        <v>#DIV/0!</v>
      </c>
      <c r="AJ151" s="7" t="e">
        <v>#DIV/0!</v>
      </c>
      <c r="AK151" s="36" t="e">
        <v>#DIV/0!</v>
      </c>
      <c r="AL151" s="64"/>
    </row>
    <row r="152" spans="2:38" x14ac:dyDescent="0.2">
      <c r="B152" s="63"/>
      <c r="D152" s="2" t="s">
        <v>49</v>
      </c>
      <c r="E152" s="2" t="s">
        <v>95</v>
      </c>
      <c r="F152" s="35" t="e">
        <v>#DIV/0!</v>
      </c>
      <c r="G152" s="7" t="e">
        <v>#DIV/0!</v>
      </c>
      <c r="H152" s="7" t="e">
        <v>#DIV/0!</v>
      </c>
      <c r="I152" s="7" t="e">
        <v>#DIV/0!</v>
      </c>
      <c r="J152" s="7" t="e">
        <v>#DIV/0!</v>
      </c>
      <c r="K152" s="7" t="e">
        <v>#DIV/0!</v>
      </c>
      <c r="L152" s="7" t="e">
        <v>#DIV/0!</v>
      </c>
      <c r="M152" s="7" t="e">
        <v>#DIV/0!</v>
      </c>
      <c r="N152" s="7" t="e">
        <v>#DIV/0!</v>
      </c>
      <c r="O152" s="7" t="e">
        <v>#DIV/0!</v>
      </c>
      <c r="P152" s="7" t="e">
        <v>#DIV/0!</v>
      </c>
      <c r="Q152" s="7" t="e">
        <v>#DIV/0!</v>
      </c>
      <c r="R152" s="7" t="e">
        <v>#DIV/0!</v>
      </c>
      <c r="S152" s="7" t="e">
        <v>#DIV/0!</v>
      </c>
      <c r="T152" s="7" t="e">
        <v>#DIV/0!</v>
      </c>
      <c r="U152" s="7" t="e">
        <v>#DIV/0!</v>
      </c>
      <c r="V152" s="7" t="e">
        <v>#DIV/0!</v>
      </c>
      <c r="W152" s="7" t="e">
        <v>#DIV/0!</v>
      </c>
      <c r="X152" s="7" t="e">
        <v>#DIV/0!</v>
      </c>
      <c r="Y152" s="7" t="e">
        <v>#DIV/0!</v>
      </c>
      <c r="Z152" s="7" t="e">
        <v>#DIV/0!</v>
      </c>
      <c r="AA152" s="74" t="e">
        <v>#DIV/0!</v>
      </c>
      <c r="AB152" s="74" t="e">
        <v>#DIV/0!</v>
      </c>
      <c r="AC152" s="7" t="e">
        <v>#DIV/0!</v>
      </c>
      <c r="AD152" s="7" t="e">
        <v>#DIV/0!</v>
      </c>
      <c r="AE152" s="7" t="e">
        <v>#DIV/0!</v>
      </c>
      <c r="AF152" s="7" t="e">
        <v>#DIV/0!</v>
      </c>
      <c r="AG152" s="7" t="e">
        <v>#DIV/0!</v>
      </c>
      <c r="AH152" s="7" t="e">
        <v>#DIV/0!</v>
      </c>
      <c r="AI152" s="7" t="e">
        <v>#DIV/0!</v>
      </c>
      <c r="AJ152" s="7" t="e">
        <v>#DIV/0!</v>
      </c>
      <c r="AK152" s="36" t="e">
        <v>#DIV/0!</v>
      </c>
      <c r="AL152" s="64"/>
    </row>
    <row r="153" spans="2:38" x14ac:dyDescent="0.2">
      <c r="B153" s="63"/>
      <c r="D153" s="2" t="s">
        <v>47</v>
      </c>
      <c r="E153" s="2" t="s">
        <v>95</v>
      </c>
      <c r="F153" s="35" t="e">
        <v>#DIV/0!</v>
      </c>
      <c r="G153" s="7" t="e">
        <v>#DIV/0!</v>
      </c>
      <c r="H153" s="7" t="e">
        <v>#DIV/0!</v>
      </c>
      <c r="I153" s="7" t="e">
        <v>#DIV/0!</v>
      </c>
      <c r="J153" s="7" t="e">
        <v>#DIV/0!</v>
      </c>
      <c r="K153" s="7" t="e">
        <v>#DIV/0!</v>
      </c>
      <c r="L153" s="7" t="e">
        <v>#DIV/0!</v>
      </c>
      <c r="M153" s="7" t="e">
        <v>#DIV/0!</v>
      </c>
      <c r="N153" s="7" t="e">
        <v>#DIV/0!</v>
      </c>
      <c r="O153" s="7" t="e">
        <v>#DIV/0!</v>
      </c>
      <c r="P153" s="7" t="e">
        <v>#DIV/0!</v>
      </c>
      <c r="Q153" s="7" t="e">
        <v>#DIV/0!</v>
      </c>
      <c r="R153" s="7" t="e">
        <v>#DIV/0!</v>
      </c>
      <c r="S153" s="7" t="e">
        <v>#DIV/0!</v>
      </c>
      <c r="T153" s="7" t="e">
        <v>#DIV/0!</v>
      </c>
      <c r="U153" s="7" t="e">
        <v>#DIV/0!</v>
      </c>
      <c r="V153" s="7" t="e">
        <v>#DIV/0!</v>
      </c>
      <c r="W153" s="7" t="e">
        <v>#DIV/0!</v>
      </c>
      <c r="X153" s="7" t="e">
        <v>#DIV/0!</v>
      </c>
      <c r="Y153" s="7" t="e">
        <v>#DIV/0!</v>
      </c>
      <c r="Z153" s="7" t="e">
        <v>#DIV/0!</v>
      </c>
      <c r="AA153" s="74" t="e">
        <v>#DIV/0!</v>
      </c>
      <c r="AB153" s="74" t="e">
        <v>#DIV/0!</v>
      </c>
      <c r="AC153" s="7" t="e">
        <v>#DIV/0!</v>
      </c>
      <c r="AD153" s="7" t="e">
        <v>#DIV/0!</v>
      </c>
      <c r="AE153" s="7" t="e">
        <v>#DIV/0!</v>
      </c>
      <c r="AF153" s="7" t="e">
        <v>#DIV/0!</v>
      </c>
      <c r="AG153" s="7" t="e">
        <v>#DIV/0!</v>
      </c>
      <c r="AH153" s="7" t="e">
        <v>#DIV/0!</v>
      </c>
      <c r="AI153" s="7" t="e">
        <v>#DIV/0!</v>
      </c>
      <c r="AJ153" s="7" t="e">
        <v>#DIV/0!</v>
      </c>
      <c r="AK153" s="36" t="e">
        <v>#DIV/0!</v>
      </c>
      <c r="AL153" s="64"/>
    </row>
    <row r="154" spans="2:38" x14ac:dyDescent="0.2">
      <c r="B154" s="63"/>
      <c r="D154" s="2" t="s">
        <v>48</v>
      </c>
      <c r="E154" s="2" t="s">
        <v>95</v>
      </c>
      <c r="F154" s="35" t="e">
        <v>#DIV/0!</v>
      </c>
      <c r="G154" s="7" t="e">
        <v>#DIV/0!</v>
      </c>
      <c r="H154" s="7" t="e">
        <v>#DIV/0!</v>
      </c>
      <c r="I154" s="7" t="e">
        <v>#DIV/0!</v>
      </c>
      <c r="J154" s="7" t="e">
        <v>#DIV/0!</v>
      </c>
      <c r="K154" s="7" t="e">
        <v>#DIV/0!</v>
      </c>
      <c r="L154" s="7" t="e">
        <v>#DIV/0!</v>
      </c>
      <c r="M154" s="7" t="e">
        <v>#DIV/0!</v>
      </c>
      <c r="N154" s="7" t="e">
        <v>#DIV/0!</v>
      </c>
      <c r="O154" s="7" t="e">
        <v>#DIV/0!</v>
      </c>
      <c r="P154" s="7" t="e">
        <v>#DIV/0!</v>
      </c>
      <c r="Q154" s="7" t="e">
        <v>#DIV/0!</v>
      </c>
      <c r="R154" s="7" t="e">
        <v>#DIV/0!</v>
      </c>
      <c r="S154" s="7" t="e">
        <v>#DIV/0!</v>
      </c>
      <c r="T154" s="7" t="e">
        <v>#DIV/0!</v>
      </c>
      <c r="U154" s="7" t="e">
        <v>#DIV/0!</v>
      </c>
      <c r="V154" s="7" t="e">
        <v>#DIV/0!</v>
      </c>
      <c r="W154" s="7" t="e">
        <v>#DIV/0!</v>
      </c>
      <c r="X154" s="7" t="e">
        <v>#DIV/0!</v>
      </c>
      <c r="Y154" s="7" t="e">
        <v>#DIV/0!</v>
      </c>
      <c r="Z154" s="7" t="e">
        <v>#DIV/0!</v>
      </c>
      <c r="AA154" s="74" t="e">
        <v>#DIV/0!</v>
      </c>
      <c r="AB154" s="74" t="e">
        <v>#DIV/0!</v>
      </c>
      <c r="AC154" s="7" t="e">
        <v>#DIV/0!</v>
      </c>
      <c r="AD154" s="7" t="e">
        <v>#DIV/0!</v>
      </c>
      <c r="AE154" s="7" t="e">
        <v>#DIV/0!</v>
      </c>
      <c r="AF154" s="7" t="e">
        <v>#DIV/0!</v>
      </c>
      <c r="AG154" s="7" t="e">
        <v>#DIV/0!</v>
      </c>
      <c r="AH154" s="7" t="e">
        <v>#DIV/0!</v>
      </c>
      <c r="AI154" s="7" t="e">
        <v>#DIV/0!</v>
      </c>
      <c r="AJ154" s="7" t="e">
        <v>#DIV/0!</v>
      </c>
      <c r="AK154" s="36" t="e">
        <v>#DIV/0!</v>
      </c>
      <c r="AL154" s="64"/>
    </row>
    <row r="155" spans="2:38" x14ac:dyDescent="0.2">
      <c r="B155" s="63"/>
      <c r="D155" s="2" t="s">
        <v>75</v>
      </c>
      <c r="E155" s="2" t="s">
        <v>95</v>
      </c>
      <c r="F155" s="35" t="e">
        <v>#DIV/0!</v>
      </c>
      <c r="G155" s="7" t="e">
        <v>#DIV/0!</v>
      </c>
      <c r="H155" s="7" t="e">
        <v>#DIV/0!</v>
      </c>
      <c r="I155" s="7" t="e">
        <v>#DIV/0!</v>
      </c>
      <c r="J155" s="7" t="e">
        <v>#DIV/0!</v>
      </c>
      <c r="K155" s="7" t="e">
        <v>#DIV/0!</v>
      </c>
      <c r="L155" s="7" t="e">
        <v>#DIV/0!</v>
      </c>
      <c r="M155" s="7" t="e">
        <v>#DIV/0!</v>
      </c>
      <c r="N155" s="7" t="e">
        <v>#DIV/0!</v>
      </c>
      <c r="O155" s="7" t="e">
        <v>#DIV/0!</v>
      </c>
      <c r="P155" s="7" t="e">
        <v>#DIV/0!</v>
      </c>
      <c r="Q155" s="7" t="e">
        <v>#DIV/0!</v>
      </c>
      <c r="R155" s="7" t="e">
        <v>#DIV/0!</v>
      </c>
      <c r="S155" s="7" t="e">
        <v>#DIV/0!</v>
      </c>
      <c r="T155" s="7" t="e">
        <v>#DIV/0!</v>
      </c>
      <c r="U155" s="7" t="e">
        <v>#DIV/0!</v>
      </c>
      <c r="V155" s="7" t="e">
        <v>#DIV/0!</v>
      </c>
      <c r="W155" s="7" t="e">
        <v>#DIV/0!</v>
      </c>
      <c r="X155" s="7" t="e">
        <v>#DIV/0!</v>
      </c>
      <c r="Y155" s="7" t="e">
        <v>#DIV/0!</v>
      </c>
      <c r="Z155" s="7" t="e">
        <v>#DIV/0!</v>
      </c>
      <c r="AA155" s="74" t="e">
        <v>#DIV/0!</v>
      </c>
      <c r="AB155" s="74" t="e">
        <v>#DIV/0!</v>
      </c>
      <c r="AC155" s="7" t="e">
        <v>#DIV/0!</v>
      </c>
      <c r="AD155" s="7" t="e">
        <v>#DIV/0!</v>
      </c>
      <c r="AE155" s="7" t="e">
        <v>#DIV/0!</v>
      </c>
      <c r="AF155" s="7" t="e">
        <v>#DIV/0!</v>
      </c>
      <c r="AG155" s="7" t="e">
        <v>#DIV/0!</v>
      </c>
      <c r="AH155" s="7" t="e">
        <v>#DIV/0!</v>
      </c>
      <c r="AI155" s="7" t="e">
        <v>#DIV/0!</v>
      </c>
      <c r="AJ155" s="7" t="e">
        <v>#DIV/0!</v>
      </c>
      <c r="AK155" s="36" t="e">
        <v>#DIV/0!</v>
      </c>
      <c r="AL155" s="64"/>
    </row>
    <row r="156" spans="2:38" x14ac:dyDescent="0.2">
      <c r="B156" s="63"/>
      <c r="D156" s="2" t="s">
        <v>103</v>
      </c>
      <c r="E156" s="2" t="s">
        <v>111</v>
      </c>
      <c r="F156" s="35" t="e">
        <v>#DIV/0!</v>
      </c>
      <c r="G156" s="7" t="e">
        <v>#DIV/0!</v>
      </c>
      <c r="H156" s="74" t="e">
        <v>#DIV/0!</v>
      </c>
      <c r="I156" s="74" t="e">
        <v>#DIV/0!</v>
      </c>
      <c r="J156" s="7" t="e">
        <v>#DIV/0!</v>
      </c>
      <c r="K156" s="7" t="e">
        <v>#DIV/0!</v>
      </c>
      <c r="L156" s="7" t="e">
        <v>#DIV/0!</v>
      </c>
      <c r="M156" s="7" t="e">
        <v>#DIV/0!</v>
      </c>
      <c r="N156" s="7" t="e">
        <v>#DIV/0!</v>
      </c>
      <c r="O156" s="7" t="e">
        <v>#DIV/0!</v>
      </c>
      <c r="P156" s="7" t="e">
        <v>#DIV/0!</v>
      </c>
      <c r="Q156" s="7" t="e">
        <v>#DIV/0!</v>
      </c>
      <c r="R156" s="7" t="e">
        <v>#DIV/0!</v>
      </c>
      <c r="S156" s="7" t="e">
        <v>#DIV/0!</v>
      </c>
      <c r="T156" s="7" t="e">
        <v>#DIV/0!</v>
      </c>
      <c r="U156" s="7" t="e">
        <v>#DIV/0!</v>
      </c>
      <c r="V156" s="7" t="e">
        <v>#DIV/0!</v>
      </c>
      <c r="W156" s="7" t="e">
        <v>#DIV/0!</v>
      </c>
      <c r="X156" s="7" t="e">
        <v>#DIV/0!</v>
      </c>
      <c r="Y156" s="7" t="e">
        <v>#DIV/0!</v>
      </c>
      <c r="Z156" s="7" t="e">
        <v>#DIV/0!</v>
      </c>
      <c r="AA156" s="7" t="e">
        <v>#DIV/0!</v>
      </c>
      <c r="AB156" s="7" t="e">
        <v>#DIV/0!</v>
      </c>
      <c r="AC156" s="7" t="e">
        <v>#DIV/0!</v>
      </c>
      <c r="AD156" s="7" t="e">
        <v>#DIV/0!</v>
      </c>
      <c r="AE156" s="7" t="e">
        <v>#DIV/0!</v>
      </c>
      <c r="AF156" s="7" t="e">
        <v>#DIV/0!</v>
      </c>
      <c r="AG156" s="7" t="e">
        <v>#DIV/0!</v>
      </c>
      <c r="AH156" s="7" t="e">
        <v>#DIV/0!</v>
      </c>
      <c r="AI156" s="7" t="e">
        <v>#DIV/0!</v>
      </c>
      <c r="AJ156" s="7" t="e">
        <v>#DIV/0!</v>
      </c>
      <c r="AK156" s="36" t="e">
        <v>#DIV/0!</v>
      </c>
      <c r="AL156" s="64"/>
    </row>
    <row r="157" spans="2:38" x14ac:dyDescent="0.2">
      <c r="B157" s="63"/>
      <c r="D157" s="2" t="s">
        <v>102</v>
      </c>
      <c r="E157" s="2" t="s">
        <v>111</v>
      </c>
      <c r="F157" s="37" t="e">
        <v>#DIV/0!</v>
      </c>
      <c r="G157" s="38" t="e">
        <v>#DIV/0!</v>
      </c>
      <c r="H157" s="41" t="e">
        <v>#DIV/0!</v>
      </c>
      <c r="I157" s="41" t="e">
        <v>#DIV/0!</v>
      </c>
      <c r="J157" s="38" t="e">
        <v>#DIV/0!</v>
      </c>
      <c r="K157" s="38" t="e">
        <v>#DIV/0!</v>
      </c>
      <c r="L157" s="38" t="e">
        <v>#DIV/0!</v>
      </c>
      <c r="M157" s="38" t="e">
        <v>#DIV/0!</v>
      </c>
      <c r="N157" s="38" t="e">
        <v>#DIV/0!</v>
      </c>
      <c r="O157" s="38" t="e">
        <v>#DIV/0!</v>
      </c>
      <c r="P157" s="38" t="e">
        <v>#DIV/0!</v>
      </c>
      <c r="Q157" s="38" t="e">
        <v>#DIV/0!</v>
      </c>
      <c r="R157" s="38" t="e">
        <v>#DIV/0!</v>
      </c>
      <c r="S157" s="38" t="e">
        <v>#DIV/0!</v>
      </c>
      <c r="T157" s="38" t="e">
        <v>#DIV/0!</v>
      </c>
      <c r="U157" s="38" t="e">
        <v>#DIV/0!</v>
      </c>
      <c r="V157" s="38" t="e">
        <v>#DIV/0!</v>
      </c>
      <c r="W157" s="38" t="e">
        <v>#DIV/0!</v>
      </c>
      <c r="X157" s="38" t="e">
        <v>#DIV/0!</v>
      </c>
      <c r="Y157" s="38" t="e">
        <v>#DIV/0!</v>
      </c>
      <c r="Z157" s="38" t="e">
        <v>#DIV/0!</v>
      </c>
      <c r="AA157" s="38" t="e">
        <v>#DIV/0!</v>
      </c>
      <c r="AB157" s="38" t="e">
        <v>#DIV/0!</v>
      </c>
      <c r="AC157" s="38" t="e">
        <v>#DIV/0!</v>
      </c>
      <c r="AD157" s="38" t="e">
        <v>#DIV/0!</v>
      </c>
      <c r="AE157" s="38" t="e">
        <v>#DIV/0!</v>
      </c>
      <c r="AF157" s="38" t="e">
        <v>#DIV/0!</v>
      </c>
      <c r="AG157" s="38" t="e">
        <v>#DIV/0!</v>
      </c>
      <c r="AH157" s="38" t="e">
        <v>#DIV/0!</v>
      </c>
      <c r="AI157" s="38" t="e">
        <v>#DIV/0!</v>
      </c>
      <c r="AJ157" s="38" t="e">
        <v>#DIV/0!</v>
      </c>
      <c r="AK157" s="39" t="e">
        <v>#DIV/0!</v>
      </c>
      <c r="AL157" s="64"/>
    </row>
    <row r="158" spans="2:38" x14ac:dyDescent="0.2">
      <c r="B158" s="63"/>
      <c r="AL158" s="64"/>
    </row>
    <row r="159" spans="2:38" x14ac:dyDescent="0.2">
      <c r="B159" s="63"/>
      <c r="AL159" s="64"/>
    </row>
    <row r="160" spans="2:38" x14ac:dyDescent="0.2">
      <c r="B160" s="65" t="s">
        <v>160</v>
      </c>
      <c r="D160" s="3" t="s">
        <v>16</v>
      </c>
      <c r="E160" s="3" t="s">
        <v>1</v>
      </c>
      <c r="AL160" s="64"/>
    </row>
    <row r="161" spans="2:38" x14ac:dyDescent="0.2">
      <c r="B161" s="63"/>
      <c r="D161" s="2" t="s">
        <v>17</v>
      </c>
      <c r="E161" s="2" t="s">
        <v>18</v>
      </c>
      <c r="F161" s="21" t="e">
        <f t="array" ref="F161:AK167">MMULT(F66:AK72,F126:AK157)</f>
        <v>#DIV/0!</v>
      </c>
      <c r="G161" s="26" t="e">
        <v>#DIV/0!</v>
      </c>
      <c r="H161" s="43" t="e">
        <v>#DIV/0!</v>
      </c>
      <c r="I161" s="43" t="e">
        <v>#DIV/0!</v>
      </c>
      <c r="J161" s="22" t="e">
        <v>#DIV/0!</v>
      </c>
      <c r="K161" s="22" t="e">
        <v>#DIV/0!</v>
      </c>
      <c r="L161" s="22" t="e">
        <v>#DIV/0!</v>
      </c>
      <c r="M161" s="22" t="e">
        <v>#DIV/0!</v>
      </c>
      <c r="N161" s="22" t="e">
        <v>#DIV/0!</v>
      </c>
      <c r="O161" s="22" t="e">
        <v>#DIV/0!</v>
      </c>
      <c r="P161" s="22" t="e">
        <v>#DIV/0!</v>
      </c>
      <c r="Q161" s="22" t="e">
        <v>#DIV/0!</v>
      </c>
      <c r="R161" s="22" t="e">
        <v>#DIV/0!</v>
      </c>
      <c r="S161" s="22" t="e">
        <v>#DIV/0!</v>
      </c>
      <c r="T161" s="22" t="e">
        <v>#DIV/0!</v>
      </c>
      <c r="U161" s="22" t="e">
        <v>#DIV/0!</v>
      </c>
      <c r="V161" s="22" t="e">
        <v>#DIV/0!</v>
      </c>
      <c r="W161" s="22" t="e">
        <v>#DIV/0!</v>
      </c>
      <c r="X161" s="22" t="e">
        <v>#DIV/0!</v>
      </c>
      <c r="Y161" s="22" t="e">
        <v>#DIV/0!</v>
      </c>
      <c r="Z161" s="22" t="e">
        <v>#DIV/0!</v>
      </c>
      <c r="AA161" s="22" t="e">
        <v>#DIV/0!</v>
      </c>
      <c r="AB161" s="22" t="e">
        <v>#DIV/0!</v>
      </c>
      <c r="AC161" s="22" t="e">
        <v>#DIV/0!</v>
      </c>
      <c r="AD161" s="22" t="e">
        <v>#DIV/0!</v>
      </c>
      <c r="AE161" s="22" t="e">
        <v>#DIV/0!</v>
      </c>
      <c r="AF161" s="22" t="e">
        <v>#DIV/0!</v>
      </c>
      <c r="AG161" s="22" t="e">
        <v>#DIV/0!</v>
      </c>
      <c r="AH161" s="22" t="e">
        <v>#DIV/0!</v>
      </c>
      <c r="AI161" s="22" t="e">
        <v>#DIV/0!</v>
      </c>
      <c r="AJ161" s="22" t="e">
        <v>#DIV/0!</v>
      </c>
      <c r="AK161" s="34" t="e">
        <v>#DIV/0!</v>
      </c>
      <c r="AL161" s="64"/>
    </row>
    <row r="162" spans="2:38" x14ac:dyDescent="0.2">
      <c r="B162" s="63"/>
      <c r="D162" s="2" t="s">
        <v>101</v>
      </c>
      <c r="E162" s="2" t="s">
        <v>18</v>
      </c>
      <c r="F162" s="35" t="e">
        <v>#DIV/0!</v>
      </c>
      <c r="G162" s="7" t="e">
        <v>#DIV/0!</v>
      </c>
      <c r="H162" s="7" t="e">
        <v>#DIV/0!</v>
      </c>
      <c r="I162" s="7" t="e">
        <v>#DIV/0!</v>
      </c>
      <c r="J162" s="7" t="e">
        <v>#DIV/0!</v>
      </c>
      <c r="K162" s="7" t="e">
        <v>#DIV/0!</v>
      </c>
      <c r="L162" s="7" t="e">
        <v>#DIV/0!</v>
      </c>
      <c r="M162" s="7" t="e">
        <v>#DIV/0!</v>
      </c>
      <c r="N162" s="7" t="e">
        <v>#DIV/0!</v>
      </c>
      <c r="O162" s="7" t="e">
        <v>#DIV/0!</v>
      </c>
      <c r="P162" s="7" t="e">
        <v>#DIV/0!</v>
      </c>
      <c r="Q162" s="7" t="e">
        <v>#DIV/0!</v>
      </c>
      <c r="R162" s="7" t="e">
        <v>#DIV/0!</v>
      </c>
      <c r="S162" s="7" t="e">
        <v>#DIV/0!</v>
      </c>
      <c r="T162" s="7" t="e">
        <v>#DIV/0!</v>
      </c>
      <c r="U162" s="7" t="e">
        <v>#DIV/0!</v>
      </c>
      <c r="V162" s="7" t="e">
        <v>#DIV/0!</v>
      </c>
      <c r="W162" s="7" t="e">
        <v>#DIV/0!</v>
      </c>
      <c r="X162" s="7" t="e">
        <v>#DIV/0!</v>
      </c>
      <c r="Y162" s="7" t="e">
        <v>#DIV/0!</v>
      </c>
      <c r="Z162" s="7" t="e">
        <v>#DIV/0!</v>
      </c>
      <c r="AA162" s="7" t="e">
        <v>#DIV/0!</v>
      </c>
      <c r="AB162" s="7" t="e">
        <v>#DIV/0!</v>
      </c>
      <c r="AC162" s="7" t="e">
        <v>#DIV/0!</v>
      </c>
      <c r="AD162" s="7" t="e">
        <v>#DIV/0!</v>
      </c>
      <c r="AE162" s="7" t="e">
        <v>#DIV/0!</v>
      </c>
      <c r="AF162" s="7" t="e">
        <v>#DIV/0!</v>
      </c>
      <c r="AG162" s="7" t="e">
        <v>#DIV/0!</v>
      </c>
      <c r="AH162" s="7" t="e">
        <v>#DIV/0!</v>
      </c>
      <c r="AI162" s="7" t="e">
        <v>#DIV/0!</v>
      </c>
      <c r="AJ162" s="7" t="e">
        <v>#DIV/0!</v>
      </c>
      <c r="AK162" s="36" t="e">
        <v>#DIV/0!</v>
      </c>
      <c r="AL162" s="64"/>
    </row>
    <row r="163" spans="2:38" x14ac:dyDescent="0.2">
      <c r="B163" s="63"/>
      <c r="D163" s="2" t="s">
        <v>109</v>
      </c>
      <c r="E163" s="2" t="s">
        <v>111</v>
      </c>
      <c r="F163" s="35" t="e">
        <v>#DIV/0!</v>
      </c>
      <c r="G163" s="7" t="e">
        <v>#DIV/0!</v>
      </c>
      <c r="H163" s="45" t="e">
        <v>#DIV/0!</v>
      </c>
      <c r="I163" s="45" t="e">
        <v>#DIV/0!</v>
      </c>
      <c r="J163" s="7" t="e">
        <v>#DIV/0!</v>
      </c>
      <c r="K163" s="7" t="e">
        <v>#DIV/0!</v>
      </c>
      <c r="L163" s="7" t="e">
        <v>#DIV/0!</v>
      </c>
      <c r="M163" s="7" t="e">
        <v>#DIV/0!</v>
      </c>
      <c r="N163" s="7" t="e">
        <v>#DIV/0!</v>
      </c>
      <c r="O163" s="7" t="e">
        <v>#DIV/0!</v>
      </c>
      <c r="P163" s="7" t="e">
        <v>#DIV/0!</v>
      </c>
      <c r="Q163" s="7" t="e">
        <v>#DIV/0!</v>
      </c>
      <c r="R163" s="7" t="e">
        <v>#DIV/0!</v>
      </c>
      <c r="S163" s="7" t="e">
        <v>#DIV/0!</v>
      </c>
      <c r="T163" s="7" t="e">
        <v>#DIV/0!</v>
      </c>
      <c r="U163" s="7" t="e">
        <v>#DIV/0!</v>
      </c>
      <c r="V163" s="7" t="e">
        <v>#DIV/0!</v>
      </c>
      <c r="W163" s="7" t="e">
        <v>#DIV/0!</v>
      </c>
      <c r="X163" s="7" t="e">
        <v>#DIV/0!</v>
      </c>
      <c r="Y163" s="7" t="e">
        <v>#DIV/0!</v>
      </c>
      <c r="Z163" s="7" t="e">
        <v>#DIV/0!</v>
      </c>
      <c r="AA163" s="7" t="e">
        <v>#DIV/0!</v>
      </c>
      <c r="AB163" s="7" t="e">
        <v>#DIV/0!</v>
      </c>
      <c r="AC163" s="7" t="e">
        <v>#DIV/0!</v>
      </c>
      <c r="AD163" s="7" t="e">
        <v>#DIV/0!</v>
      </c>
      <c r="AE163" s="7" t="e">
        <v>#DIV/0!</v>
      </c>
      <c r="AF163" s="7" t="e">
        <v>#DIV/0!</v>
      </c>
      <c r="AG163" s="7" t="e">
        <v>#DIV/0!</v>
      </c>
      <c r="AH163" s="7" t="e">
        <v>#DIV/0!</v>
      </c>
      <c r="AI163" s="7" t="e">
        <v>#DIV/0!</v>
      </c>
      <c r="AJ163" s="7" t="e">
        <v>#DIV/0!</v>
      </c>
      <c r="AK163" s="36" t="e">
        <v>#DIV/0!</v>
      </c>
      <c r="AL163" s="64"/>
    </row>
    <row r="164" spans="2:38" x14ac:dyDescent="0.2">
      <c r="B164" s="63"/>
      <c r="D164" s="2" t="s">
        <v>119</v>
      </c>
      <c r="E164" s="2" t="s">
        <v>18</v>
      </c>
      <c r="F164" s="35" t="e">
        <v>#DIV/0!</v>
      </c>
      <c r="G164" s="7" t="e">
        <v>#DIV/0!</v>
      </c>
      <c r="H164" s="45" t="e">
        <v>#DIV/0!</v>
      </c>
      <c r="I164" s="45" t="e">
        <v>#DIV/0!</v>
      </c>
      <c r="J164" s="7" t="e">
        <v>#DIV/0!</v>
      </c>
      <c r="K164" s="7" t="e">
        <v>#DIV/0!</v>
      </c>
      <c r="L164" s="7" t="e">
        <v>#DIV/0!</v>
      </c>
      <c r="M164" s="7" t="e">
        <v>#DIV/0!</v>
      </c>
      <c r="N164" s="7" t="e">
        <v>#DIV/0!</v>
      </c>
      <c r="O164" s="7" t="e">
        <v>#DIV/0!</v>
      </c>
      <c r="P164" s="7" t="e">
        <v>#DIV/0!</v>
      </c>
      <c r="Q164" s="7" t="e">
        <v>#DIV/0!</v>
      </c>
      <c r="R164" s="7" t="e">
        <v>#DIV/0!</v>
      </c>
      <c r="S164" s="7" t="e">
        <v>#DIV/0!</v>
      </c>
      <c r="T164" s="7" t="e">
        <v>#DIV/0!</v>
      </c>
      <c r="U164" s="7" t="e">
        <v>#DIV/0!</v>
      </c>
      <c r="V164" s="7" t="e">
        <v>#DIV/0!</v>
      </c>
      <c r="W164" s="7" t="e">
        <v>#DIV/0!</v>
      </c>
      <c r="X164" s="7" t="e">
        <v>#DIV/0!</v>
      </c>
      <c r="Y164" s="7" t="e">
        <v>#DIV/0!</v>
      </c>
      <c r="Z164" s="7" t="e">
        <v>#DIV/0!</v>
      </c>
      <c r="AA164" s="7" t="e">
        <v>#DIV/0!</v>
      </c>
      <c r="AB164" s="7" t="e">
        <v>#DIV/0!</v>
      </c>
      <c r="AC164" s="7" t="e">
        <v>#DIV/0!</v>
      </c>
      <c r="AD164" s="7" t="e">
        <v>#DIV/0!</v>
      </c>
      <c r="AE164" s="7" t="e">
        <v>#DIV/0!</v>
      </c>
      <c r="AF164" s="7" t="e">
        <v>#DIV/0!</v>
      </c>
      <c r="AG164" s="7" t="e">
        <v>#DIV/0!</v>
      </c>
      <c r="AH164" s="7" t="e">
        <v>#DIV/0!</v>
      </c>
      <c r="AI164" s="7" t="e">
        <v>#DIV/0!</v>
      </c>
      <c r="AJ164" s="7" t="e">
        <v>#DIV/0!</v>
      </c>
      <c r="AK164" s="36" t="e">
        <v>#DIV/0!</v>
      </c>
      <c r="AL164" s="64"/>
    </row>
    <row r="165" spans="2:38" x14ac:dyDescent="0.2">
      <c r="B165" s="63"/>
      <c r="D165" s="2" t="s">
        <v>38</v>
      </c>
      <c r="E165" s="2" t="s">
        <v>18</v>
      </c>
      <c r="F165" s="35" t="e">
        <v>#DIV/0!</v>
      </c>
      <c r="G165" s="7" t="e">
        <v>#DIV/0!</v>
      </c>
      <c r="H165" s="45" t="e">
        <v>#DIV/0!</v>
      </c>
      <c r="I165" s="45" t="e">
        <v>#DIV/0!</v>
      </c>
      <c r="J165" s="7" t="e">
        <v>#DIV/0!</v>
      </c>
      <c r="K165" s="7" t="e">
        <v>#DIV/0!</v>
      </c>
      <c r="L165" s="7" t="e">
        <v>#DIV/0!</v>
      </c>
      <c r="M165" s="7" t="e">
        <v>#DIV/0!</v>
      </c>
      <c r="N165" s="7" t="e">
        <v>#DIV/0!</v>
      </c>
      <c r="O165" s="7" t="e">
        <v>#DIV/0!</v>
      </c>
      <c r="P165" s="7" t="e">
        <v>#DIV/0!</v>
      </c>
      <c r="Q165" s="7" t="e">
        <v>#DIV/0!</v>
      </c>
      <c r="R165" s="7" t="e">
        <v>#DIV/0!</v>
      </c>
      <c r="S165" s="7" t="e">
        <v>#DIV/0!</v>
      </c>
      <c r="T165" s="7" t="e">
        <v>#DIV/0!</v>
      </c>
      <c r="U165" s="7" t="e">
        <v>#DIV/0!</v>
      </c>
      <c r="V165" s="7" t="e">
        <v>#DIV/0!</v>
      </c>
      <c r="W165" s="7" t="e">
        <v>#DIV/0!</v>
      </c>
      <c r="X165" s="7" t="e">
        <v>#DIV/0!</v>
      </c>
      <c r="Y165" s="7" t="e">
        <v>#DIV/0!</v>
      </c>
      <c r="Z165" s="7" t="e">
        <v>#DIV/0!</v>
      </c>
      <c r="AA165" s="7" t="e">
        <v>#DIV/0!</v>
      </c>
      <c r="AB165" s="7" t="e">
        <v>#DIV/0!</v>
      </c>
      <c r="AC165" s="7" t="e">
        <v>#DIV/0!</v>
      </c>
      <c r="AD165" s="7" t="e">
        <v>#DIV/0!</v>
      </c>
      <c r="AE165" s="7" t="e">
        <v>#DIV/0!</v>
      </c>
      <c r="AF165" s="7" t="e">
        <v>#DIV/0!</v>
      </c>
      <c r="AG165" s="7" t="e">
        <v>#DIV/0!</v>
      </c>
      <c r="AH165" s="7" t="e">
        <v>#DIV/0!</v>
      </c>
      <c r="AI165" s="7" t="e">
        <v>#DIV/0!</v>
      </c>
      <c r="AJ165" s="7" t="e">
        <v>#DIV/0!</v>
      </c>
      <c r="AK165" s="36" t="e">
        <v>#DIV/0!</v>
      </c>
      <c r="AL165" s="64"/>
    </row>
    <row r="166" spans="2:38" x14ac:dyDescent="0.2">
      <c r="B166" s="63"/>
      <c r="D166" s="2" t="s">
        <v>31</v>
      </c>
      <c r="E166" s="2" t="s">
        <v>18</v>
      </c>
      <c r="F166" s="35" t="e">
        <v>#DIV/0!</v>
      </c>
      <c r="G166" s="7" t="e">
        <v>#DIV/0!</v>
      </c>
      <c r="H166" s="45" t="e">
        <v>#DIV/0!</v>
      </c>
      <c r="I166" s="45" t="e">
        <v>#DIV/0!</v>
      </c>
      <c r="J166" s="7" t="e">
        <v>#DIV/0!</v>
      </c>
      <c r="K166" s="7" t="e">
        <v>#DIV/0!</v>
      </c>
      <c r="L166" s="7" t="e">
        <v>#DIV/0!</v>
      </c>
      <c r="M166" s="7" t="e">
        <v>#DIV/0!</v>
      </c>
      <c r="N166" s="7" t="e">
        <v>#DIV/0!</v>
      </c>
      <c r="O166" s="7" t="e">
        <v>#DIV/0!</v>
      </c>
      <c r="P166" s="7" t="e">
        <v>#DIV/0!</v>
      </c>
      <c r="Q166" s="7" t="e">
        <v>#DIV/0!</v>
      </c>
      <c r="R166" s="7" t="e">
        <v>#DIV/0!</v>
      </c>
      <c r="S166" s="7" t="e">
        <v>#DIV/0!</v>
      </c>
      <c r="T166" s="7" t="e">
        <v>#DIV/0!</v>
      </c>
      <c r="U166" s="7" t="e">
        <v>#DIV/0!</v>
      </c>
      <c r="V166" s="7" t="e">
        <v>#DIV/0!</v>
      </c>
      <c r="W166" s="7" t="e">
        <v>#DIV/0!</v>
      </c>
      <c r="X166" s="7" t="e">
        <v>#DIV/0!</v>
      </c>
      <c r="Y166" s="7" t="e">
        <v>#DIV/0!</v>
      </c>
      <c r="Z166" s="7" t="e">
        <v>#DIV/0!</v>
      </c>
      <c r="AA166" s="7" t="e">
        <v>#DIV/0!</v>
      </c>
      <c r="AB166" s="7" t="e">
        <v>#DIV/0!</v>
      </c>
      <c r="AC166" s="7" t="e">
        <v>#DIV/0!</v>
      </c>
      <c r="AD166" s="7" t="e">
        <v>#DIV/0!</v>
      </c>
      <c r="AE166" s="7" t="e">
        <v>#DIV/0!</v>
      </c>
      <c r="AF166" s="7" t="e">
        <v>#DIV/0!</v>
      </c>
      <c r="AG166" s="7" t="e">
        <v>#DIV/0!</v>
      </c>
      <c r="AH166" s="7" t="e">
        <v>#DIV/0!</v>
      </c>
      <c r="AI166" s="7" t="e">
        <v>#DIV/0!</v>
      </c>
      <c r="AJ166" s="7" t="e">
        <v>#DIV/0!</v>
      </c>
      <c r="AK166" s="36" t="e">
        <v>#DIV/0!</v>
      </c>
      <c r="AL166" s="64"/>
    </row>
    <row r="167" spans="2:38" x14ac:dyDescent="0.2">
      <c r="B167" s="63"/>
      <c r="D167" s="2" t="s">
        <v>27</v>
      </c>
      <c r="E167" s="2" t="s">
        <v>18</v>
      </c>
      <c r="F167" s="37" t="e">
        <v>#DIV/0!</v>
      </c>
      <c r="G167" s="38" t="e">
        <v>#DIV/0!</v>
      </c>
      <c r="H167" s="44" t="e">
        <v>#DIV/0!</v>
      </c>
      <c r="I167" s="44" t="e">
        <v>#DIV/0!</v>
      </c>
      <c r="J167" s="38" t="e">
        <v>#DIV/0!</v>
      </c>
      <c r="K167" s="38" t="e">
        <v>#DIV/0!</v>
      </c>
      <c r="L167" s="38" t="e">
        <v>#DIV/0!</v>
      </c>
      <c r="M167" s="38" t="e">
        <v>#DIV/0!</v>
      </c>
      <c r="N167" s="38" t="e">
        <v>#DIV/0!</v>
      </c>
      <c r="O167" s="38" t="e">
        <v>#DIV/0!</v>
      </c>
      <c r="P167" s="38" t="e">
        <v>#DIV/0!</v>
      </c>
      <c r="Q167" s="38" t="e">
        <v>#DIV/0!</v>
      </c>
      <c r="R167" s="38" t="e">
        <v>#DIV/0!</v>
      </c>
      <c r="S167" s="38" t="e">
        <v>#DIV/0!</v>
      </c>
      <c r="T167" s="38" t="e">
        <v>#DIV/0!</v>
      </c>
      <c r="U167" s="38" t="e">
        <v>#DIV/0!</v>
      </c>
      <c r="V167" s="38" t="e">
        <v>#DIV/0!</v>
      </c>
      <c r="W167" s="38" t="e">
        <v>#DIV/0!</v>
      </c>
      <c r="X167" s="38" t="e">
        <v>#DIV/0!</v>
      </c>
      <c r="Y167" s="38" t="e">
        <v>#DIV/0!</v>
      </c>
      <c r="Z167" s="38" t="e">
        <v>#DIV/0!</v>
      </c>
      <c r="AA167" s="38" t="e">
        <v>#DIV/0!</v>
      </c>
      <c r="AB167" s="38" t="e">
        <v>#DIV/0!</v>
      </c>
      <c r="AC167" s="38" t="e">
        <v>#DIV/0!</v>
      </c>
      <c r="AD167" s="38" t="e">
        <v>#DIV/0!</v>
      </c>
      <c r="AE167" s="38" t="e">
        <v>#DIV/0!</v>
      </c>
      <c r="AF167" s="38" t="e">
        <v>#DIV/0!</v>
      </c>
      <c r="AG167" s="38" t="e">
        <v>#DIV/0!</v>
      </c>
      <c r="AH167" s="38" t="e">
        <v>#DIV/0!</v>
      </c>
      <c r="AI167" s="38" t="e">
        <v>#DIV/0!</v>
      </c>
      <c r="AJ167" s="38" t="e">
        <v>#DIV/0!</v>
      </c>
      <c r="AK167" s="39" t="e">
        <v>#DIV/0!</v>
      </c>
      <c r="AL167" s="64"/>
    </row>
    <row r="168" spans="2:38" ht="12" thickBot="1" x14ac:dyDescent="0.25">
      <c r="B168" s="66"/>
      <c r="C168" s="67"/>
      <c r="D168" s="67"/>
      <c r="E168" s="67"/>
      <c r="F168" s="75"/>
      <c r="G168" s="75"/>
      <c r="H168" s="76"/>
      <c r="I168" s="76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68"/>
    </row>
    <row r="169" spans="2:38" ht="12" thickBot="1" x14ac:dyDescent="0.25">
      <c r="F169" s="7"/>
      <c r="G169" s="7"/>
      <c r="H169" s="45"/>
      <c r="I169" s="4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2:38" x14ac:dyDescent="0.2">
      <c r="B170" s="60" t="s">
        <v>161</v>
      </c>
      <c r="C170" s="61"/>
      <c r="D170" s="61"/>
      <c r="E170" s="61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62"/>
    </row>
    <row r="171" spans="2:38" ht="105" x14ac:dyDescent="0.2">
      <c r="B171" s="63"/>
      <c r="F171" s="4" t="s">
        <v>3</v>
      </c>
      <c r="G171" s="4" t="s">
        <v>93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64"/>
    </row>
    <row r="172" spans="2:38" ht="17.25" thickBot="1" x14ac:dyDescent="0.25">
      <c r="B172" s="65" t="s">
        <v>116</v>
      </c>
      <c r="D172" s="3" t="s">
        <v>16</v>
      </c>
      <c r="E172" s="3" t="s">
        <v>1</v>
      </c>
      <c r="F172" s="4" t="s">
        <v>2</v>
      </c>
      <c r="G172" s="4" t="s">
        <v>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64"/>
    </row>
    <row r="173" spans="2:38" x14ac:dyDescent="0.2">
      <c r="B173" s="63"/>
      <c r="D173" s="2" t="s">
        <v>115</v>
      </c>
      <c r="E173" s="2" t="s">
        <v>117</v>
      </c>
      <c r="F173" s="92"/>
      <c r="G173" s="93"/>
      <c r="H173" s="94"/>
      <c r="I173" s="94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95"/>
      <c r="AL173" s="64"/>
    </row>
    <row r="174" spans="2:38" x14ac:dyDescent="0.2">
      <c r="B174" s="63"/>
      <c r="D174" s="2" t="s">
        <v>109</v>
      </c>
      <c r="E174" s="2" t="s">
        <v>111</v>
      </c>
      <c r="F174" s="96"/>
      <c r="G174" s="97"/>
      <c r="H174" s="45"/>
      <c r="I174" s="4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98"/>
      <c r="AL174" s="64"/>
    </row>
    <row r="175" spans="2:38" ht="12" thickBot="1" x14ac:dyDescent="0.25">
      <c r="B175" s="63"/>
      <c r="D175" s="2" t="s">
        <v>120</v>
      </c>
      <c r="E175" s="2" t="s">
        <v>121</v>
      </c>
      <c r="F175" s="99"/>
      <c r="G175" s="100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8"/>
      <c r="AL175" s="64"/>
    </row>
    <row r="176" spans="2:38" ht="12" thickBot="1" x14ac:dyDescent="0.25">
      <c r="B176" s="66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8"/>
    </row>
  </sheetData>
  <conditionalFormatting sqref="F31:AK62 F66:AK73 H74:L75 F75:L77 F84:AK86">
    <cfRule type="cellIs" dxfId="2" priority="4" operator="equal">
      <formula>0</formula>
    </cfRule>
  </conditionalFormatting>
  <conditionalFormatting sqref="F92:AK123">
    <cfRule type="cellIs" dxfId="1" priority="2" operator="equal">
      <formula>0</formula>
    </cfRule>
  </conditionalFormatting>
  <conditionalFormatting sqref="F126:AK157">
    <cfRule type="cellIs" dxfId="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1D15-B866-4F53-8834-71458453CAD1}">
  <sheetPr>
    <tabColor theme="8"/>
  </sheetPr>
  <dimension ref="A1:AF38"/>
  <sheetViews>
    <sheetView zoomScale="70" zoomScaleNormal="70" workbookViewId="0">
      <selection activeCell="Q75" sqref="Q75"/>
    </sheetView>
  </sheetViews>
  <sheetFormatPr defaultRowHeight="11.25" x14ac:dyDescent="0.2"/>
  <cols>
    <col min="1" max="1" width="16.5703125" style="2" customWidth="1"/>
    <col min="2" max="2" width="9.140625" style="2"/>
    <col min="3" max="3" width="12" style="2" bestFit="1" customWidth="1"/>
    <col min="4" max="4" width="12.7109375" style="2" bestFit="1" customWidth="1"/>
    <col min="5" max="8" width="9.140625" style="2"/>
    <col min="9" max="9" width="10.5703125" style="2" bestFit="1" customWidth="1"/>
    <col min="10" max="10" width="9.28515625" style="2" bestFit="1" customWidth="1"/>
    <col min="11" max="16384" width="9.140625" style="2"/>
  </cols>
  <sheetData>
    <row r="1" spans="1:32" ht="15" customHeight="1" x14ac:dyDescent="0.2">
      <c r="C1" s="110" t="s">
        <v>122</v>
      </c>
      <c r="D1" s="111"/>
      <c r="E1" s="111"/>
      <c r="F1" s="111"/>
      <c r="G1" s="111"/>
      <c r="H1" s="112"/>
      <c r="I1" s="107" t="s">
        <v>124</v>
      </c>
      <c r="J1" s="107"/>
      <c r="K1" s="107"/>
      <c r="L1" s="107"/>
      <c r="M1" s="107"/>
      <c r="N1" s="107"/>
      <c r="R1" s="107" t="s">
        <v>129</v>
      </c>
      <c r="S1" s="107"/>
      <c r="T1" s="107"/>
      <c r="U1" s="107"/>
      <c r="V1" s="107"/>
      <c r="W1" s="107"/>
      <c r="X1" s="107"/>
      <c r="Y1" s="107" t="s">
        <v>130</v>
      </c>
      <c r="Z1" s="107"/>
      <c r="AE1" s="107" t="s">
        <v>131</v>
      </c>
      <c r="AF1" s="107"/>
    </row>
    <row r="2" spans="1:32" x14ac:dyDescent="0.2">
      <c r="C2" s="108" t="s">
        <v>129</v>
      </c>
      <c r="D2" s="107"/>
      <c r="E2" s="107" t="s">
        <v>130</v>
      </c>
      <c r="F2" s="107"/>
      <c r="G2" s="107" t="s">
        <v>131</v>
      </c>
      <c r="H2" s="109"/>
      <c r="I2" s="107" t="s">
        <v>123</v>
      </c>
      <c r="J2" s="107"/>
      <c r="K2" s="107" t="s">
        <v>109</v>
      </c>
      <c r="L2" s="107"/>
      <c r="M2" s="107" t="s">
        <v>120</v>
      </c>
      <c r="N2" s="107"/>
      <c r="R2" s="4"/>
      <c r="S2" s="4"/>
      <c r="T2" s="4"/>
      <c r="U2" s="4"/>
      <c r="V2" s="4"/>
      <c r="W2" s="4"/>
      <c r="X2" s="4"/>
    </row>
    <row r="3" spans="1:32" ht="106.5" x14ac:dyDescent="0.2">
      <c r="C3" s="52" t="s">
        <v>3</v>
      </c>
      <c r="D3" s="4" t="s">
        <v>93</v>
      </c>
      <c r="E3" s="4" t="s">
        <v>3</v>
      </c>
      <c r="F3" s="4" t="s">
        <v>93</v>
      </c>
      <c r="G3" s="4" t="s">
        <v>3</v>
      </c>
      <c r="H3" s="53" t="s">
        <v>93</v>
      </c>
      <c r="I3" s="4" t="s">
        <v>3</v>
      </c>
      <c r="J3" s="4" t="s">
        <v>93</v>
      </c>
      <c r="K3" s="4" t="s">
        <v>3</v>
      </c>
      <c r="L3" s="4" t="s">
        <v>93</v>
      </c>
      <c r="M3" s="4" t="s">
        <v>3</v>
      </c>
      <c r="N3" s="4" t="s">
        <v>93</v>
      </c>
      <c r="R3" s="4" t="s">
        <v>3</v>
      </c>
      <c r="S3" s="4" t="s">
        <v>132</v>
      </c>
      <c r="T3" s="4" t="s">
        <v>133</v>
      </c>
      <c r="U3" s="4" t="s">
        <v>134</v>
      </c>
      <c r="V3" s="4" t="s">
        <v>135</v>
      </c>
      <c r="W3" s="4" t="s">
        <v>136</v>
      </c>
      <c r="X3" s="4" t="s">
        <v>137</v>
      </c>
    </row>
    <row r="4" spans="1:32" ht="16.5" x14ac:dyDescent="0.2">
      <c r="C4" s="52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53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</row>
    <row r="5" spans="1:32" x14ac:dyDescent="0.2">
      <c r="A5" s="3" t="s">
        <v>0</v>
      </c>
      <c r="B5" s="3" t="s">
        <v>1</v>
      </c>
      <c r="C5" s="13"/>
      <c r="H5" s="14"/>
    </row>
    <row r="6" spans="1:32" x14ac:dyDescent="0.2">
      <c r="A6" s="2" t="s">
        <v>3</v>
      </c>
      <c r="B6" s="2" t="s">
        <v>2</v>
      </c>
      <c r="C6" s="54" t="e">
        <f t="array" ref="C6:D37">Inventaire!$F$126:$G$157*TRANSPOSE(Inventaire!$F84:$AK84)*1000</f>
        <v>#DIV/0!</v>
      </c>
      <c r="D6" s="55" t="e">
        <v>#DIV/0!</v>
      </c>
      <c r="E6" s="55" t="e">
        <f t="array" ref="E6:F37">Inventaire!$F$126:$G$157*TRANSPOSE(Inventaire!$F85:$AK85)*100</f>
        <v>#DIV/0!</v>
      </c>
      <c r="F6" s="55" t="e">
        <v>#DIV/0!</v>
      </c>
      <c r="G6" s="55" t="e">
        <f t="array" ref="G6:H37">Inventaire!$F$126:$G$157*TRANSPOSE(Inventaire!$F86:$AK86)*1000000000</f>
        <v>#DIV/0!</v>
      </c>
      <c r="H6" s="56" t="e">
        <v>#DIV/0!</v>
      </c>
      <c r="I6" s="5" t="e">
        <f t="array" ref="I6:J38">C6:D38/MAX(C38:D38)</f>
        <v>#DIV/0!</v>
      </c>
      <c r="J6" s="5" t="e">
        <v>#DIV/0!</v>
      </c>
      <c r="K6" s="5" t="e">
        <f t="array" ref="K6:L38">E6:F38/MAX(E38:F38)</f>
        <v>#DIV/0!</v>
      </c>
      <c r="L6" s="5" t="e">
        <v>#DIV/0!</v>
      </c>
      <c r="M6" s="5" t="e">
        <f t="array" ref="M6:N38">G6:H38/MAX(G38:H38)</f>
        <v>#DIV/0!</v>
      </c>
      <c r="N6" s="5" t="e">
        <v>#DIV/0!</v>
      </c>
      <c r="R6" s="7">
        <v>187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32" x14ac:dyDescent="0.2">
      <c r="A7" s="2" t="s">
        <v>93</v>
      </c>
      <c r="B7" s="2" t="s">
        <v>2</v>
      </c>
      <c r="C7" s="54" t="e">
        <v>#DIV/0!</v>
      </c>
      <c r="D7" s="55" t="e">
        <v>#DIV/0!</v>
      </c>
      <c r="E7" s="55" t="e">
        <v>#DIV/0!</v>
      </c>
      <c r="F7" s="55" t="e">
        <v>#DIV/0!</v>
      </c>
      <c r="G7" s="55" t="e">
        <v>#DIV/0!</v>
      </c>
      <c r="H7" s="56" t="e">
        <v>#DIV/0!</v>
      </c>
      <c r="I7" s="5" t="e">
        <v>#DIV/0!</v>
      </c>
      <c r="J7" s="5" t="e">
        <v>#DIV/0!</v>
      </c>
      <c r="K7" s="5" t="e">
        <v>#DIV/0!</v>
      </c>
      <c r="L7" s="5" t="e">
        <v>#DIV/0!</v>
      </c>
      <c r="M7" s="5" t="e">
        <v>#DIV/0!</v>
      </c>
      <c r="N7" s="5" t="e">
        <v>#DIV/0!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32" x14ac:dyDescent="0.2">
      <c r="A8" s="2" t="s">
        <v>64</v>
      </c>
      <c r="B8" s="2" t="s">
        <v>5</v>
      </c>
      <c r="C8" s="54" t="e">
        <v>#DIV/0!</v>
      </c>
      <c r="D8" s="55" t="e">
        <v>#DIV/0!</v>
      </c>
      <c r="E8" s="55" t="e">
        <v>#DIV/0!</v>
      </c>
      <c r="F8" s="55" t="e">
        <v>#DIV/0!</v>
      </c>
      <c r="G8" s="55" t="e">
        <v>#DIV/0!</v>
      </c>
      <c r="H8" s="56" t="e">
        <v>#DIV/0!</v>
      </c>
      <c r="I8" s="5" t="e">
        <v>#DIV/0!</v>
      </c>
      <c r="J8" s="5" t="e">
        <v>#DIV/0!</v>
      </c>
      <c r="K8" s="5" t="e">
        <v>#DIV/0!</v>
      </c>
      <c r="L8" s="5" t="e">
        <v>#DIV/0!</v>
      </c>
      <c r="M8" s="5" t="e">
        <v>#DIV/0!</v>
      </c>
      <c r="N8" s="5" t="e">
        <v>#DIV/0!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32" x14ac:dyDescent="0.2">
      <c r="A9" s="2" t="s">
        <v>94</v>
      </c>
      <c r="B9" s="2" t="s">
        <v>5</v>
      </c>
      <c r="C9" s="54" t="e">
        <v>#DIV/0!</v>
      </c>
      <c r="D9" s="55" t="e">
        <v>#DIV/0!</v>
      </c>
      <c r="E9" s="55" t="e">
        <v>#DIV/0!</v>
      </c>
      <c r="F9" s="55" t="e">
        <v>#DIV/0!</v>
      </c>
      <c r="G9" s="55" t="e">
        <v>#DIV/0!</v>
      </c>
      <c r="H9" s="56" t="e">
        <v>#DIV/0!</v>
      </c>
      <c r="I9" s="5" t="e">
        <v>#DIV/0!</v>
      </c>
      <c r="J9" s="5" t="e">
        <v>#DIV/0!</v>
      </c>
      <c r="K9" s="5" t="e">
        <v>#DIV/0!</v>
      </c>
      <c r="L9" s="5" t="e">
        <v>#DIV/0!</v>
      </c>
      <c r="M9" s="5" t="e">
        <v>#DIV/0!</v>
      </c>
      <c r="N9" s="5" t="e">
        <v>#DIV/0!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32" x14ac:dyDescent="0.2">
      <c r="A10" s="2" t="s">
        <v>112</v>
      </c>
      <c r="B10" s="2" t="s">
        <v>95</v>
      </c>
      <c r="C10" s="54" t="e">
        <v>#DIV/0!</v>
      </c>
      <c r="D10" s="55" t="e">
        <v>#DIV/0!</v>
      </c>
      <c r="E10" s="55" t="e">
        <v>#DIV/0!</v>
      </c>
      <c r="F10" s="55" t="e">
        <v>#DIV/0!</v>
      </c>
      <c r="G10" s="55" t="e">
        <v>#DIV/0!</v>
      </c>
      <c r="H10" s="56" t="e">
        <v>#DIV/0!</v>
      </c>
      <c r="I10" s="5" t="e">
        <v>#DIV/0!</v>
      </c>
      <c r="J10" s="5" t="e">
        <v>#DIV/0!</v>
      </c>
      <c r="K10" s="5" t="e">
        <v>#DIV/0!</v>
      </c>
      <c r="L10" s="5" t="e">
        <v>#DIV/0!</v>
      </c>
      <c r="M10" s="5" t="e">
        <v>#DIV/0!</v>
      </c>
      <c r="N10" s="5" t="e">
        <v>#DIV/0!</v>
      </c>
      <c r="R10" s="7">
        <v>0</v>
      </c>
      <c r="S10" s="7">
        <v>17.289600000000004</v>
      </c>
      <c r="T10" s="7">
        <v>17.289600000000004</v>
      </c>
      <c r="U10" s="7">
        <v>17.289600000000004</v>
      </c>
      <c r="V10" s="7">
        <v>17.289600000000004</v>
      </c>
      <c r="W10" s="7">
        <v>17.289600000000004</v>
      </c>
      <c r="X10" s="7">
        <v>17.289600000000004</v>
      </c>
    </row>
    <row r="11" spans="1:32" x14ac:dyDescent="0.2">
      <c r="A11" s="2" t="s">
        <v>113</v>
      </c>
      <c r="B11" s="2" t="s">
        <v>95</v>
      </c>
      <c r="C11" s="54" t="e">
        <v>#DIV/0!</v>
      </c>
      <c r="D11" s="55" t="e">
        <v>#DIV/0!</v>
      </c>
      <c r="E11" s="55" t="e">
        <v>#DIV/0!</v>
      </c>
      <c r="F11" s="55" t="e">
        <v>#DIV/0!</v>
      </c>
      <c r="G11" s="55" t="e">
        <v>#DIV/0!</v>
      </c>
      <c r="H11" s="56" t="e">
        <v>#DIV/0!</v>
      </c>
      <c r="I11" s="5" t="e">
        <v>#DIV/0!</v>
      </c>
      <c r="J11" s="5" t="e">
        <v>#DIV/0!</v>
      </c>
      <c r="K11" s="5" t="e">
        <v>#DIV/0!</v>
      </c>
      <c r="L11" s="5" t="e">
        <v>#DIV/0!</v>
      </c>
      <c r="M11" s="5" t="e">
        <v>#DIV/0!</v>
      </c>
      <c r="N11" s="5" t="e">
        <v>#DIV/0!</v>
      </c>
      <c r="R11" s="7">
        <v>0</v>
      </c>
      <c r="S11" s="7">
        <v>-1.7472000000000001</v>
      </c>
      <c r="T11" s="7">
        <v>-1.7472000000000001</v>
      </c>
      <c r="U11" s="7">
        <v>-1.7472000000000001</v>
      </c>
      <c r="V11" s="7">
        <v>-1.7472000000000001</v>
      </c>
      <c r="W11" s="7">
        <v>-1.7472000000000001</v>
      </c>
      <c r="X11" s="7">
        <v>-1.7472000000000001</v>
      </c>
    </row>
    <row r="12" spans="1:32" x14ac:dyDescent="0.2">
      <c r="A12" s="2" t="s">
        <v>4</v>
      </c>
      <c r="B12" s="2" t="s">
        <v>6</v>
      </c>
      <c r="C12" s="54" t="e">
        <v>#DIV/0!</v>
      </c>
      <c r="D12" s="55" t="e">
        <v>#DIV/0!</v>
      </c>
      <c r="E12" s="55" t="e">
        <v>#DIV/0!</v>
      </c>
      <c r="F12" s="55" t="e">
        <v>#DIV/0!</v>
      </c>
      <c r="G12" s="55" t="e">
        <v>#DIV/0!</v>
      </c>
      <c r="H12" s="56" t="e">
        <v>#DIV/0!</v>
      </c>
      <c r="I12" s="5" t="e">
        <v>#DIV/0!</v>
      </c>
      <c r="J12" s="5" t="e">
        <v>#DIV/0!</v>
      </c>
      <c r="K12" s="5" t="e">
        <v>#DIV/0!</v>
      </c>
      <c r="L12" s="5" t="e">
        <v>#DIV/0!</v>
      </c>
      <c r="M12" s="5" t="e">
        <v>#DIV/0!</v>
      </c>
      <c r="N12" s="5" t="e">
        <v>#DIV/0!</v>
      </c>
      <c r="R12" s="7">
        <v>41.300000000000004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32" x14ac:dyDescent="0.2">
      <c r="A13" s="2" t="s">
        <v>14</v>
      </c>
      <c r="B13" s="2" t="s">
        <v>15</v>
      </c>
      <c r="C13" s="54" t="e">
        <v>#DIV/0!</v>
      </c>
      <c r="D13" s="55" t="e">
        <v>#DIV/0!</v>
      </c>
      <c r="E13" s="55" t="e">
        <v>#DIV/0!</v>
      </c>
      <c r="F13" s="55" t="e">
        <v>#DIV/0!</v>
      </c>
      <c r="G13" s="55" t="e">
        <v>#DIV/0!</v>
      </c>
      <c r="H13" s="56" t="e">
        <v>#DIV/0!</v>
      </c>
      <c r="I13" s="5" t="e">
        <v>#DIV/0!</v>
      </c>
      <c r="J13" s="5" t="e">
        <v>#DIV/0!</v>
      </c>
      <c r="K13" s="5" t="e">
        <v>#DIV/0!</v>
      </c>
      <c r="L13" s="5" t="e">
        <v>#DIV/0!</v>
      </c>
      <c r="M13" s="5" t="e">
        <v>#DIV/0!</v>
      </c>
      <c r="N13" s="5" t="e">
        <v>#DIV/0!</v>
      </c>
      <c r="R13" s="7">
        <v>0.6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32" x14ac:dyDescent="0.2">
      <c r="A14" s="2" t="s">
        <v>11</v>
      </c>
      <c r="B14" s="2" t="s">
        <v>18</v>
      </c>
      <c r="C14" s="54" t="e">
        <v>#DIV/0!</v>
      </c>
      <c r="D14" s="55" t="e">
        <v>#DIV/0!</v>
      </c>
      <c r="E14" s="55" t="e">
        <v>#DIV/0!</v>
      </c>
      <c r="F14" s="55" t="e">
        <v>#DIV/0!</v>
      </c>
      <c r="G14" s="55" t="e">
        <v>#DIV/0!</v>
      </c>
      <c r="H14" s="56" t="e">
        <v>#DIV/0!</v>
      </c>
      <c r="I14" s="5" t="e">
        <v>#DIV/0!</v>
      </c>
      <c r="J14" s="5" t="e">
        <v>#DIV/0!</v>
      </c>
      <c r="K14" s="5" t="e">
        <v>#DIV/0!</v>
      </c>
      <c r="L14" s="5" t="e">
        <v>#DIV/0!</v>
      </c>
      <c r="M14" s="5" t="e">
        <v>#DIV/0!</v>
      </c>
      <c r="N14" s="5" t="e">
        <v>#DIV/0!</v>
      </c>
      <c r="R14" s="7">
        <v>8.2972239999999786</v>
      </c>
      <c r="S14" s="7">
        <v>7.1096479999999724</v>
      </c>
      <c r="T14" s="7">
        <v>7.1096479999999724</v>
      </c>
      <c r="U14" s="7">
        <v>7.1096479999999724</v>
      </c>
      <c r="V14" s="7">
        <v>7.1096479999999724</v>
      </c>
      <c r="W14" s="7">
        <v>7.1096479999999724</v>
      </c>
      <c r="X14" s="7">
        <v>7.1096479999999724</v>
      </c>
    </row>
    <row r="15" spans="1:32" x14ac:dyDescent="0.2">
      <c r="A15" s="2" t="s">
        <v>65</v>
      </c>
      <c r="B15" s="2" t="s">
        <v>18</v>
      </c>
      <c r="C15" s="54" t="e">
        <v>#DIV/0!</v>
      </c>
      <c r="D15" s="55" t="e">
        <v>#DIV/0!</v>
      </c>
      <c r="E15" s="55" t="e">
        <v>#DIV/0!</v>
      </c>
      <c r="F15" s="55" t="e">
        <v>#DIV/0!</v>
      </c>
      <c r="G15" s="55" t="e">
        <v>#DIV/0!</v>
      </c>
      <c r="H15" s="56" t="e">
        <v>#DIV/0!</v>
      </c>
      <c r="I15" s="5" t="e">
        <v>#DIV/0!</v>
      </c>
      <c r="J15" s="5" t="e">
        <v>#DIV/0!</v>
      </c>
      <c r="K15" s="5" t="e">
        <v>#DIV/0!</v>
      </c>
      <c r="L15" s="5" t="e">
        <v>#DIV/0!</v>
      </c>
      <c r="M15" s="5" t="e">
        <v>#DIV/0!</v>
      </c>
      <c r="N15" s="5" t="e">
        <v>#DIV/0!</v>
      </c>
      <c r="R15" s="7">
        <v>0.57527999999999913</v>
      </c>
      <c r="S15" s="7">
        <v>0.31103999999999737</v>
      </c>
      <c r="T15" s="7">
        <v>0.31103999999999737</v>
      </c>
      <c r="U15" s="7">
        <v>0.31103999999999737</v>
      </c>
      <c r="V15" s="7">
        <v>0.31103999999999737</v>
      </c>
      <c r="W15" s="7">
        <v>0.31103999999999737</v>
      </c>
      <c r="X15" s="7">
        <v>0.31103999999999737</v>
      </c>
    </row>
    <row r="16" spans="1:32" x14ac:dyDescent="0.2">
      <c r="A16" s="2" t="s">
        <v>12</v>
      </c>
      <c r="B16" s="2" t="s">
        <v>18</v>
      </c>
      <c r="C16" s="54" t="e">
        <v>#DIV/0!</v>
      </c>
      <c r="D16" s="55" t="e">
        <v>#DIV/0!</v>
      </c>
      <c r="E16" s="55" t="e">
        <v>#DIV/0!</v>
      </c>
      <c r="F16" s="55" t="e">
        <v>#DIV/0!</v>
      </c>
      <c r="G16" s="55" t="e">
        <v>#DIV/0!</v>
      </c>
      <c r="H16" s="56" t="e">
        <v>#DIV/0!</v>
      </c>
      <c r="I16" s="5" t="e">
        <v>#DIV/0!</v>
      </c>
      <c r="J16" s="5" t="e">
        <v>#DIV/0!</v>
      </c>
      <c r="K16" s="5" t="e">
        <v>#DIV/0!</v>
      </c>
      <c r="L16" s="5" t="e">
        <v>#DIV/0!</v>
      </c>
      <c r="M16" s="5" t="e">
        <v>#DIV/0!</v>
      </c>
      <c r="N16" s="5" t="e">
        <v>#DIV/0!</v>
      </c>
      <c r="R16" s="7">
        <v>9.7508599999999586</v>
      </c>
      <c r="S16" s="7">
        <v>12.70551999999998</v>
      </c>
      <c r="T16" s="7">
        <v>12.70551999999998</v>
      </c>
      <c r="U16" s="7">
        <v>12.70551999999998</v>
      </c>
      <c r="V16" s="7">
        <v>12.70551999999998</v>
      </c>
      <c r="W16" s="7">
        <v>12.70551999999998</v>
      </c>
      <c r="X16" s="7">
        <v>12.70551999999998</v>
      </c>
    </row>
    <row r="17" spans="1:24" x14ac:dyDescent="0.2">
      <c r="A17" s="2" t="s">
        <v>66</v>
      </c>
      <c r="B17" s="2" t="s">
        <v>18</v>
      </c>
      <c r="C17" s="54" t="e">
        <v>#DIV/0!</v>
      </c>
      <c r="D17" s="55" t="e">
        <v>#DIV/0!</v>
      </c>
      <c r="E17" s="55" t="e">
        <v>#DIV/0!</v>
      </c>
      <c r="F17" s="55" t="e">
        <v>#DIV/0!</v>
      </c>
      <c r="G17" s="55" t="e">
        <v>#DIV/0!</v>
      </c>
      <c r="H17" s="56" t="e">
        <v>#DIV/0!</v>
      </c>
      <c r="I17" s="5" t="e">
        <v>#DIV/0!</v>
      </c>
      <c r="J17" s="5" t="e">
        <v>#DIV/0!</v>
      </c>
      <c r="K17" s="5" t="e">
        <v>#DIV/0!</v>
      </c>
      <c r="L17" s="5" t="e">
        <v>#DIV/0!</v>
      </c>
      <c r="M17" s="5" t="e">
        <v>#DIV/0!</v>
      </c>
      <c r="N17" s="5" t="e">
        <v>#DIV/0!</v>
      </c>
      <c r="R17" s="7">
        <v>0.16904799999999945</v>
      </c>
      <c r="S17" s="7">
        <v>0.1735679999999995</v>
      </c>
      <c r="T17" s="7">
        <v>0.1735679999999995</v>
      </c>
      <c r="U17" s="7">
        <v>0.1735679999999995</v>
      </c>
      <c r="V17" s="7">
        <v>0.1735679999999995</v>
      </c>
      <c r="W17" s="7">
        <v>0.1735679999999995</v>
      </c>
      <c r="X17" s="7">
        <v>0.1735679999999995</v>
      </c>
    </row>
    <row r="18" spans="1:24" x14ac:dyDescent="0.2">
      <c r="A18" s="2" t="s">
        <v>67</v>
      </c>
      <c r="B18" s="2" t="s">
        <v>18</v>
      </c>
      <c r="C18" s="54" t="e">
        <v>#DIV/0!</v>
      </c>
      <c r="D18" s="55" t="e">
        <v>#DIV/0!</v>
      </c>
      <c r="E18" s="55" t="e">
        <v>#DIV/0!</v>
      </c>
      <c r="F18" s="55" t="e">
        <v>#DIV/0!</v>
      </c>
      <c r="G18" s="55" t="e">
        <v>#DIV/0!</v>
      </c>
      <c r="H18" s="56" t="e">
        <v>#DIV/0!</v>
      </c>
      <c r="I18" s="5" t="e">
        <v>#DIV/0!</v>
      </c>
      <c r="J18" s="5" t="e">
        <v>#DIV/0!</v>
      </c>
      <c r="K18" s="5" t="e">
        <v>#DIV/0!</v>
      </c>
      <c r="L18" s="5" t="e">
        <v>#DIV/0!</v>
      </c>
      <c r="M18" s="5" t="e">
        <v>#DIV/0!</v>
      </c>
      <c r="N18" s="5" t="e">
        <v>#DIV/0!</v>
      </c>
      <c r="R18" s="7">
        <v>0.15449599999999955</v>
      </c>
      <c r="S18" s="7">
        <v>0.14540799999999957</v>
      </c>
      <c r="T18" s="7">
        <v>0.14540799999999957</v>
      </c>
      <c r="U18" s="7">
        <v>0.14540799999999957</v>
      </c>
      <c r="V18" s="7">
        <v>0.14540799999999957</v>
      </c>
      <c r="W18" s="7">
        <v>0.14540799999999957</v>
      </c>
      <c r="X18" s="7">
        <v>0.14540799999999957</v>
      </c>
    </row>
    <row r="19" spans="1:24" x14ac:dyDescent="0.2">
      <c r="A19" s="2" t="s">
        <v>13</v>
      </c>
      <c r="B19" s="2" t="s">
        <v>18</v>
      </c>
      <c r="C19" s="54" t="e">
        <v>#DIV/0!</v>
      </c>
      <c r="D19" s="55" t="e">
        <v>#DIV/0!</v>
      </c>
      <c r="E19" s="55" t="e">
        <v>#DIV/0!</v>
      </c>
      <c r="F19" s="55" t="e">
        <v>#DIV/0!</v>
      </c>
      <c r="G19" s="55" t="e">
        <v>#DIV/0!</v>
      </c>
      <c r="H19" s="56" t="e">
        <v>#DIV/0!</v>
      </c>
      <c r="I19" s="5" t="e">
        <v>#DIV/0!</v>
      </c>
      <c r="J19" s="5" t="e">
        <v>#DIV/0!</v>
      </c>
      <c r="K19" s="5" t="e">
        <v>#DIV/0!</v>
      </c>
      <c r="L19" s="5" t="e">
        <v>#DIV/0!</v>
      </c>
      <c r="M19" s="5" t="e">
        <v>#DIV/0!</v>
      </c>
      <c r="N19" s="5" t="e">
        <v>#DIV/0!</v>
      </c>
      <c r="R19" s="7">
        <v>2.7002799999999918</v>
      </c>
      <c r="S19" s="7">
        <v>2.7667039999999927</v>
      </c>
      <c r="T19" s="7">
        <v>2.7667039999999927</v>
      </c>
      <c r="U19" s="7">
        <v>2.7667039999999927</v>
      </c>
      <c r="V19" s="7">
        <v>2.7667039999999927</v>
      </c>
      <c r="W19" s="7">
        <v>2.7667039999999927</v>
      </c>
      <c r="X19" s="7">
        <v>2.7667039999999927</v>
      </c>
    </row>
    <row r="20" spans="1:24" x14ac:dyDescent="0.2">
      <c r="A20" s="2" t="s">
        <v>68</v>
      </c>
      <c r="B20" s="2" t="s">
        <v>18</v>
      </c>
      <c r="C20" s="54" t="e">
        <v>#DIV/0!</v>
      </c>
      <c r="D20" s="55" t="e">
        <v>#DIV/0!</v>
      </c>
      <c r="E20" s="55" t="e">
        <v>#DIV/0!</v>
      </c>
      <c r="F20" s="55" t="e">
        <v>#DIV/0!</v>
      </c>
      <c r="G20" s="55" t="e">
        <v>#DIV/0!</v>
      </c>
      <c r="H20" s="56" t="e">
        <v>#DIV/0!</v>
      </c>
      <c r="I20" s="5" t="e">
        <v>#DIV/0!</v>
      </c>
      <c r="J20" s="5" t="e">
        <v>#DIV/0!</v>
      </c>
      <c r="K20" s="5" t="e">
        <v>#DIV/0!</v>
      </c>
      <c r="L20" s="5" t="e">
        <v>#DIV/0!</v>
      </c>
      <c r="M20" s="5" t="e">
        <v>#DIV/0!</v>
      </c>
      <c r="N20" s="5" t="e">
        <v>#DIV/0!</v>
      </c>
      <c r="R20" s="7">
        <v>0.83027999999999735</v>
      </c>
      <c r="S20" s="7">
        <v>0.84479999999999755</v>
      </c>
      <c r="T20" s="7">
        <v>0.84479999999999755</v>
      </c>
      <c r="U20" s="7">
        <v>0.84479999999999755</v>
      </c>
      <c r="V20" s="7">
        <v>0.84479999999999755</v>
      </c>
      <c r="W20" s="7">
        <v>0.84479999999999755</v>
      </c>
      <c r="X20" s="7">
        <v>0.84479999999999755</v>
      </c>
    </row>
    <row r="21" spans="1:24" x14ac:dyDescent="0.2">
      <c r="A21" s="2" t="s">
        <v>69</v>
      </c>
      <c r="B21" s="2" t="s">
        <v>18</v>
      </c>
      <c r="C21" s="54" t="e">
        <v>#DIV/0!</v>
      </c>
      <c r="D21" s="55" t="e">
        <v>#DIV/0!</v>
      </c>
      <c r="E21" s="55" t="e">
        <v>#DIV/0!</v>
      </c>
      <c r="F21" s="55" t="e">
        <v>#DIV/0!</v>
      </c>
      <c r="G21" s="55" t="e">
        <v>#DIV/0!</v>
      </c>
      <c r="H21" s="56" t="e">
        <v>#DIV/0!</v>
      </c>
      <c r="I21" s="5" t="e">
        <v>#DIV/0!</v>
      </c>
      <c r="J21" s="5" t="e">
        <v>#DIV/0!</v>
      </c>
      <c r="K21" s="5" t="e">
        <v>#DIV/0!</v>
      </c>
      <c r="L21" s="5" t="e">
        <v>#DIV/0!</v>
      </c>
      <c r="M21" s="5" t="e">
        <v>#DIV/0!</v>
      </c>
      <c r="N21" s="5" t="e">
        <v>#DIV/0!</v>
      </c>
      <c r="R21" s="7">
        <v>0.25703999999999971</v>
      </c>
      <c r="S21" s="7">
        <v>0.10751999999999898</v>
      </c>
      <c r="T21" s="7">
        <v>0.10751999999999898</v>
      </c>
      <c r="U21" s="7">
        <v>0.10751999999999898</v>
      </c>
      <c r="V21" s="7">
        <v>0.10751999999999898</v>
      </c>
      <c r="W21" s="7">
        <v>0.10751999999999898</v>
      </c>
      <c r="X21" s="7">
        <v>0.10751999999999898</v>
      </c>
    </row>
    <row r="22" spans="1:24" x14ac:dyDescent="0.2">
      <c r="A22" s="2" t="s">
        <v>70</v>
      </c>
      <c r="B22" s="2" t="s">
        <v>18</v>
      </c>
      <c r="C22" s="54" t="e">
        <v>#DIV/0!</v>
      </c>
      <c r="D22" s="55" t="e">
        <v>#DIV/0!</v>
      </c>
      <c r="E22" s="55" t="e">
        <v>#DIV/0!</v>
      </c>
      <c r="F22" s="55" t="e">
        <v>#DIV/0!</v>
      </c>
      <c r="G22" s="55" t="e">
        <v>#DIV/0!</v>
      </c>
      <c r="H22" s="56" t="e">
        <v>#DIV/0!</v>
      </c>
      <c r="I22" s="5" t="e">
        <v>#DIV/0!</v>
      </c>
      <c r="J22" s="5" t="e">
        <v>#DIV/0!</v>
      </c>
      <c r="K22" s="5" t="e">
        <v>#DIV/0!</v>
      </c>
      <c r="L22" s="5" t="e">
        <v>#DIV/0!</v>
      </c>
      <c r="M22" s="5" t="e">
        <v>#DIV/0!</v>
      </c>
      <c r="N22" s="5" t="e">
        <v>#DIV/0!</v>
      </c>
      <c r="R22" s="7">
        <v>0.56460399999999733</v>
      </c>
      <c r="S22" s="7">
        <v>1.288047999999999</v>
      </c>
      <c r="T22" s="7">
        <v>1.288047999999999</v>
      </c>
      <c r="U22" s="7">
        <v>1.288047999999999</v>
      </c>
      <c r="V22" s="7">
        <v>1.288047999999999</v>
      </c>
      <c r="W22" s="7">
        <v>1.288047999999999</v>
      </c>
      <c r="X22" s="7">
        <v>1.288047999999999</v>
      </c>
    </row>
    <row r="23" spans="1:24" x14ac:dyDescent="0.2">
      <c r="A23" s="2" t="s">
        <v>71</v>
      </c>
      <c r="B23" s="2" t="s">
        <v>18</v>
      </c>
      <c r="C23" s="54" t="e">
        <v>#DIV/0!</v>
      </c>
      <c r="D23" s="55" t="e">
        <v>#DIV/0!</v>
      </c>
      <c r="E23" s="55" t="e">
        <v>#DIV/0!</v>
      </c>
      <c r="F23" s="55" t="e">
        <v>#DIV/0!</v>
      </c>
      <c r="G23" s="55" t="e">
        <v>#DIV/0!</v>
      </c>
      <c r="H23" s="56" t="e">
        <v>#DIV/0!</v>
      </c>
      <c r="I23" s="5" t="e">
        <v>#DIV/0!</v>
      </c>
      <c r="J23" s="5" t="e">
        <v>#DIV/0!</v>
      </c>
      <c r="K23" s="5" t="e">
        <v>#DIV/0!</v>
      </c>
      <c r="L23" s="5" t="e">
        <v>#DIV/0!</v>
      </c>
      <c r="M23" s="5" t="e">
        <v>#DIV/0!</v>
      </c>
      <c r="N23" s="5" t="e">
        <v>#DIV/0!</v>
      </c>
      <c r="R23" s="7">
        <v>0.20862399999999723</v>
      </c>
      <c r="S23" s="7">
        <v>0.78540800000000111</v>
      </c>
      <c r="T23" s="7">
        <v>0.78540800000000111</v>
      </c>
      <c r="U23" s="7">
        <v>0.78540800000000111</v>
      </c>
      <c r="V23" s="7">
        <v>0.78540800000000111</v>
      </c>
      <c r="W23" s="7">
        <v>0.78540800000000111</v>
      </c>
      <c r="X23" s="7">
        <v>0.78540800000000111</v>
      </c>
    </row>
    <row r="24" spans="1:24" x14ac:dyDescent="0.2">
      <c r="A24" s="2" t="s">
        <v>72</v>
      </c>
      <c r="B24" s="2" t="s">
        <v>18</v>
      </c>
      <c r="C24" s="54" t="e">
        <v>#DIV/0!</v>
      </c>
      <c r="D24" s="55" t="e">
        <v>#DIV/0!</v>
      </c>
      <c r="E24" s="55" t="e">
        <v>#DIV/0!</v>
      </c>
      <c r="F24" s="55" t="e">
        <v>#DIV/0!</v>
      </c>
      <c r="G24" s="55" t="e">
        <v>#DIV/0!</v>
      </c>
      <c r="H24" s="56" t="e">
        <v>#DIV/0!</v>
      </c>
      <c r="I24" s="5" t="e">
        <v>#DIV/0!</v>
      </c>
      <c r="J24" s="5" t="e">
        <v>#DIV/0!</v>
      </c>
      <c r="K24" s="5" t="e">
        <v>#DIV/0!</v>
      </c>
      <c r="L24" s="5" t="e">
        <v>#DIV/0!</v>
      </c>
      <c r="M24" s="5" t="e">
        <v>#DIV/0!</v>
      </c>
      <c r="N24" s="5" t="e">
        <v>#DIV/0!</v>
      </c>
      <c r="R24" s="7">
        <v>11.706947999999954</v>
      </c>
      <c r="S24" s="7">
        <v>13.362623999999968</v>
      </c>
      <c r="T24" s="7">
        <v>13.362623999999968</v>
      </c>
      <c r="U24" s="7">
        <v>13.362623999999968</v>
      </c>
      <c r="V24" s="7">
        <v>13.362623999999968</v>
      </c>
      <c r="W24" s="7">
        <v>13.362623999999968</v>
      </c>
      <c r="X24" s="7">
        <v>13.362623999999968</v>
      </c>
    </row>
    <row r="25" spans="1:24" x14ac:dyDescent="0.2">
      <c r="A25" s="2" t="s">
        <v>73</v>
      </c>
      <c r="B25" s="2" t="s">
        <v>18</v>
      </c>
      <c r="C25" s="54" t="e">
        <v>#DIV/0!</v>
      </c>
      <c r="D25" s="55" t="e">
        <v>#DIV/0!</v>
      </c>
      <c r="E25" s="55" t="e">
        <v>#DIV/0!</v>
      </c>
      <c r="F25" s="55" t="e">
        <v>#DIV/0!</v>
      </c>
      <c r="G25" s="55" t="e">
        <v>#DIV/0!</v>
      </c>
      <c r="H25" s="56" t="e">
        <v>#DIV/0!</v>
      </c>
      <c r="I25" s="5" t="e">
        <v>#DIV/0!</v>
      </c>
      <c r="J25" s="5" t="e">
        <v>#DIV/0!</v>
      </c>
      <c r="K25" s="5" t="e">
        <v>#DIV/0!</v>
      </c>
      <c r="L25" s="5" t="e">
        <v>#DIV/0!</v>
      </c>
      <c r="M25" s="5" t="e">
        <v>#DIV/0!</v>
      </c>
      <c r="N25" s="5" t="e">
        <v>#DIV/0!</v>
      </c>
      <c r="R25" s="7">
        <v>6.1012999999999789</v>
      </c>
      <c r="S25" s="7">
        <v>6.3631999999999822</v>
      </c>
      <c r="T25" s="7">
        <v>6.3631999999999822</v>
      </c>
      <c r="U25" s="7">
        <v>6.3631999999999822</v>
      </c>
      <c r="V25" s="7">
        <v>6.3631999999999822</v>
      </c>
      <c r="W25" s="7">
        <v>6.3631999999999822</v>
      </c>
      <c r="X25" s="7">
        <v>6.3631999999999822</v>
      </c>
    </row>
    <row r="26" spans="1:24" x14ac:dyDescent="0.2">
      <c r="A26" s="2" t="s">
        <v>74</v>
      </c>
      <c r="B26" s="2" t="s">
        <v>18</v>
      </c>
      <c r="C26" s="54" t="e">
        <v>#DIV/0!</v>
      </c>
      <c r="D26" s="55" t="e">
        <v>#DIV/0!</v>
      </c>
      <c r="E26" s="55" t="e">
        <v>#DIV/0!</v>
      </c>
      <c r="F26" s="55" t="e">
        <v>#DIV/0!</v>
      </c>
      <c r="G26" s="55" t="e">
        <v>#DIV/0!</v>
      </c>
      <c r="H26" s="56" t="e">
        <v>#DIV/0!</v>
      </c>
      <c r="I26" s="5" t="e">
        <v>#DIV/0!</v>
      </c>
      <c r="J26" s="5" t="e">
        <v>#DIV/0!</v>
      </c>
      <c r="K26" s="5" t="e">
        <v>#DIV/0!</v>
      </c>
      <c r="L26" s="5" t="e">
        <v>#DIV/0!</v>
      </c>
      <c r="M26" s="5" t="e">
        <v>#DIV/0!</v>
      </c>
      <c r="N26" s="5" t="e">
        <v>#DIV/0!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x14ac:dyDescent="0.2">
      <c r="A27" s="2" t="s">
        <v>51</v>
      </c>
      <c r="B27" s="2" t="s">
        <v>95</v>
      </c>
      <c r="C27" s="54" t="e">
        <v>#DIV/0!</v>
      </c>
      <c r="D27" s="55" t="e">
        <v>#DIV/0!</v>
      </c>
      <c r="E27" s="55" t="e">
        <v>#DIV/0!</v>
      </c>
      <c r="F27" s="55" t="e">
        <v>#DIV/0!</v>
      </c>
      <c r="G27" s="55" t="e">
        <v>#DIV/0!</v>
      </c>
      <c r="H27" s="56" t="e">
        <v>#DIV/0!</v>
      </c>
      <c r="I27" s="5" t="e">
        <v>#DIV/0!</v>
      </c>
      <c r="J27" s="5" t="e">
        <v>#DIV/0!</v>
      </c>
      <c r="K27" s="5" t="e">
        <v>#DIV/0!</v>
      </c>
      <c r="L27" s="5" t="e">
        <v>#DIV/0!</v>
      </c>
      <c r="M27" s="5" t="e">
        <v>#DIV/0!</v>
      </c>
      <c r="N27" s="5" t="e">
        <v>#DIV/0!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x14ac:dyDescent="0.2">
      <c r="A28" s="2" t="s">
        <v>50</v>
      </c>
      <c r="B28" s="2" t="s">
        <v>95</v>
      </c>
      <c r="C28" s="54" t="e">
        <v>#DIV/0!</v>
      </c>
      <c r="D28" s="55" t="e">
        <v>#DIV/0!</v>
      </c>
      <c r="E28" s="55" t="e">
        <v>#DIV/0!</v>
      </c>
      <c r="F28" s="55" t="e">
        <v>#DIV/0!</v>
      </c>
      <c r="G28" s="55" t="e">
        <v>#DIV/0!</v>
      </c>
      <c r="H28" s="56" t="e">
        <v>#DIV/0!</v>
      </c>
      <c r="I28" s="5" t="e">
        <v>#DIV/0!</v>
      </c>
      <c r="J28" s="5" t="e">
        <v>#DIV/0!</v>
      </c>
      <c r="K28" s="5" t="e">
        <v>#DIV/0!</v>
      </c>
      <c r="L28" s="5" t="e">
        <v>#DIV/0!</v>
      </c>
      <c r="M28" s="5" t="e">
        <v>#DIV/0!</v>
      </c>
      <c r="N28" s="5" t="e">
        <v>#DIV/0!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</row>
    <row r="29" spans="1:24" x14ac:dyDescent="0.2">
      <c r="A29" s="2" t="s">
        <v>44</v>
      </c>
      <c r="B29" s="2" t="s">
        <v>95</v>
      </c>
      <c r="C29" s="54" t="e">
        <v>#DIV/0!</v>
      </c>
      <c r="D29" s="55" t="e">
        <v>#DIV/0!</v>
      </c>
      <c r="E29" s="55" t="e">
        <v>#DIV/0!</v>
      </c>
      <c r="F29" s="55" t="e">
        <v>#DIV/0!</v>
      </c>
      <c r="G29" s="55" t="e">
        <v>#DIV/0!</v>
      </c>
      <c r="H29" s="56" t="e">
        <v>#DIV/0!</v>
      </c>
      <c r="I29" s="5" t="e">
        <v>#DIV/0!</v>
      </c>
      <c r="J29" s="5" t="e">
        <v>#DIV/0!</v>
      </c>
      <c r="K29" s="5" t="e">
        <v>#DIV/0!</v>
      </c>
      <c r="L29" s="5" t="e">
        <v>#DIV/0!</v>
      </c>
      <c r="M29" s="5" t="e">
        <v>#DIV/0!</v>
      </c>
      <c r="N29" s="5" t="e">
        <v>#DIV/0!</v>
      </c>
      <c r="R29" s="7">
        <v>1.4957551084261722E-3</v>
      </c>
      <c r="S29" s="7">
        <v>7.2050241354943936E-2</v>
      </c>
      <c r="T29" s="7">
        <v>0.78929159600621412</v>
      </c>
      <c r="U29" s="7">
        <v>0</v>
      </c>
      <c r="V29" s="7">
        <v>0.44976484558758195</v>
      </c>
      <c r="W29" s="7">
        <v>0</v>
      </c>
      <c r="X29" s="7">
        <v>0.42137647304020504</v>
      </c>
    </row>
    <row r="30" spans="1:24" x14ac:dyDescent="0.2">
      <c r="A30" s="2" t="s">
        <v>45</v>
      </c>
      <c r="B30" s="2" t="s">
        <v>95</v>
      </c>
      <c r="C30" s="54" t="e">
        <v>#DIV/0!</v>
      </c>
      <c r="D30" s="55" t="e">
        <v>#DIV/0!</v>
      </c>
      <c r="E30" s="55" t="e">
        <v>#DIV/0!</v>
      </c>
      <c r="F30" s="55" t="e">
        <v>#DIV/0!</v>
      </c>
      <c r="G30" s="55" t="e">
        <v>#DIV/0!</v>
      </c>
      <c r="H30" s="56" t="e">
        <v>#DIV/0!</v>
      </c>
      <c r="I30" s="5" t="e">
        <v>#DIV/0!</v>
      </c>
      <c r="J30" s="5" t="e">
        <v>#DIV/0!</v>
      </c>
      <c r="K30" s="5" t="e">
        <v>#DIV/0!</v>
      </c>
      <c r="L30" s="5" t="e">
        <v>#DIV/0!</v>
      </c>
      <c r="M30" s="5" t="e">
        <v>#DIV/0!</v>
      </c>
      <c r="N30" s="5" t="e">
        <v>#DIV/0!</v>
      </c>
      <c r="R30" s="7">
        <v>9.5737576847821984E-3</v>
      </c>
      <c r="S30" s="7">
        <v>0.46116610130658531</v>
      </c>
      <c r="T30" s="7">
        <v>0.23819478417126208</v>
      </c>
      <c r="U30" s="7">
        <v>1.0568950416110647</v>
      </c>
      <c r="V30" s="7">
        <v>0.91956872834536718</v>
      </c>
      <c r="W30" s="7">
        <v>1.6481986355941798</v>
      </c>
      <c r="X30" s="7">
        <v>0.99311428288306902</v>
      </c>
    </row>
    <row r="31" spans="1:24" x14ac:dyDescent="0.2">
      <c r="A31" s="2" t="s">
        <v>46</v>
      </c>
      <c r="B31" s="2" t="s">
        <v>95</v>
      </c>
      <c r="C31" s="54" t="e">
        <v>#DIV/0!</v>
      </c>
      <c r="D31" s="55" t="e">
        <v>#DIV/0!</v>
      </c>
      <c r="E31" s="55" t="e">
        <v>#DIV/0!</v>
      </c>
      <c r="F31" s="55" t="e">
        <v>#DIV/0!</v>
      </c>
      <c r="G31" s="55" t="e">
        <v>#DIV/0!</v>
      </c>
      <c r="H31" s="56" t="e">
        <v>#DIV/0!</v>
      </c>
      <c r="I31" s="5" t="e">
        <v>#DIV/0!</v>
      </c>
      <c r="J31" s="5" t="e">
        <v>#DIV/0!</v>
      </c>
      <c r="K31" s="5" t="e">
        <v>#DIV/0!</v>
      </c>
      <c r="L31" s="5" t="e">
        <v>#DIV/0!</v>
      </c>
      <c r="M31" s="5" t="e">
        <v>#DIV/0!</v>
      </c>
      <c r="N31" s="5" t="e">
        <v>#DIV/0!</v>
      </c>
      <c r="R31" s="7">
        <v>1.2063029469194061E-2</v>
      </c>
      <c r="S31" s="7">
        <v>0.58107385348778362</v>
      </c>
      <c r="T31" s="7">
        <v>0.33497944089163129</v>
      </c>
      <c r="U31" s="7">
        <v>1.0371103658936873</v>
      </c>
      <c r="V31" s="7">
        <v>0.78002189101268893</v>
      </c>
      <c r="W31" s="7">
        <v>1.2423613888564431</v>
      </c>
      <c r="X31" s="7">
        <v>0.82418438411132766</v>
      </c>
    </row>
    <row r="32" spans="1:24" x14ac:dyDescent="0.2">
      <c r="A32" s="2" t="s">
        <v>49</v>
      </c>
      <c r="B32" s="2" t="s">
        <v>95</v>
      </c>
      <c r="C32" s="54" t="e">
        <v>#DIV/0!</v>
      </c>
      <c r="D32" s="55" t="e">
        <v>#DIV/0!</v>
      </c>
      <c r="E32" s="55" t="e">
        <v>#DIV/0!</v>
      </c>
      <c r="F32" s="55" t="e">
        <v>#DIV/0!</v>
      </c>
      <c r="G32" s="55" t="e">
        <v>#DIV/0!</v>
      </c>
      <c r="H32" s="56" t="e">
        <v>#DIV/0!</v>
      </c>
      <c r="I32" s="5" t="e">
        <v>#DIV/0!</v>
      </c>
      <c r="J32" s="5" t="e">
        <v>#DIV/0!</v>
      </c>
      <c r="K32" s="5" t="e">
        <v>#DIV/0!</v>
      </c>
      <c r="L32" s="5" t="e">
        <v>#DIV/0!</v>
      </c>
      <c r="M32" s="5" t="e">
        <v>#DIV/0!</v>
      </c>
      <c r="N32" s="5" t="e">
        <v>#DIV/0!</v>
      </c>
      <c r="R32" s="7">
        <v>1.3800083805865725E-3</v>
      </c>
      <c r="S32" s="7">
        <v>6.647474331391566E-2</v>
      </c>
      <c r="T32" s="7">
        <v>0.18735553895412785</v>
      </c>
      <c r="U32" s="7">
        <v>6.6318259978313351E-2</v>
      </c>
      <c r="V32" s="7">
        <v>0.16317466032439296</v>
      </c>
      <c r="W32" s="7">
        <v>5.0018144156855952E-2</v>
      </c>
      <c r="X32" s="7">
        <v>0.13734517425100085</v>
      </c>
    </row>
    <row r="33" spans="1:24" x14ac:dyDescent="0.2">
      <c r="A33" s="2" t="s">
        <v>47</v>
      </c>
      <c r="B33" s="2" t="s">
        <v>95</v>
      </c>
      <c r="C33" s="54" t="e">
        <v>#DIV/0!</v>
      </c>
      <c r="D33" s="55" t="e">
        <v>#DIV/0!</v>
      </c>
      <c r="E33" s="55" t="e">
        <v>#DIV/0!</v>
      </c>
      <c r="F33" s="55" t="e">
        <v>#DIV/0!</v>
      </c>
      <c r="G33" s="55" t="e">
        <v>#DIV/0!</v>
      </c>
      <c r="H33" s="56" t="e">
        <v>#DIV/0!</v>
      </c>
      <c r="I33" s="5" t="e">
        <v>#DIV/0!</v>
      </c>
      <c r="J33" s="5" t="e">
        <v>#DIV/0!</v>
      </c>
      <c r="K33" s="5" t="e">
        <v>#DIV/0!</v>
      </c>
      <c r="L33" s="5" t="e">
        <v>#DIV/0!</v>
      </c>
      <c r="M33" s="5" t="e">
        <v>#DIV/0!</v>
      </c>
      <c r="N33" s="5" t="e">
        <v>#DIV/0!</v>
      </c>
      <c r="R33" s="7">
        <v>2.0033169581317165</v>
      </c>
      <c r="S33" s="7">
        <v>96.499399888873356</v>
      </c>
      <c r="T33" s="7">
        <v>5.0699318304932834</v>
      </c>
      <c r="U33" s="7">
        <v>22.941109999127569</v>
      </c>
      <c r="V33" s="7">
        <v>0.4762549275181191</v>
      </c>
      <c r="W33" s="7">
        <v>0.96024032373803447</v>
      </c>
      <c r="X33" s="7">
        <v>1.9934483806547467E-2</v>
      </c>
    </row>
    <row r="34" spans="1:24" x14ac:dyDescent="0.2">
      <c r="A34" s="2" t="s">
        <v>48</v>
      </c>
      <c r="B34" s="2" t="s">
        <v>95</v>
      </c>
      <c r="C34" s="54" t="e">
        <v>#DIV/0!</v>
      </c>
      <c r="D34" s="55" t="e">
        <v>#DIV/0!</v>
      </c>
      <c r="E34" s="55" t="e">
        <v>#DIV/0!</v>
      </c>
      <c r="F34" s="55" t="e">
        <v>#DIV/0!</v>
      </c>
      <c r="G34" s="55" t="e">
        <v>#DIV/0!</v>
      </c>
      <c r="H34" s="56" t="e">
        <v>#DIV/0!</v>
      </c>
      <c r="I34" s="5" t="e">
        <v>#DIV/0!</v>
      </c>
      <c r="J34" s="5" t="e">
        <v>#DIV/0!</v>
      </c>
      <c r="K34" s="5" t="e">
        <v>#DIV/0!</v>
      </c>
      <c r="L34" s="5" t="e">
        <v>#DIV/0!</v>
      </c>
      <c r="M34" s="5" t="e">
        <v>#DIV/0!</v>
      </c>
      <c r="N34" s="5" t="e">
        <v>#DIV/0!</v>
      </c>
      <c r="R34" s="7">
        <v>0.63037797668939621</v>
      </c>
      <c r="S34" s="7">
        <v>30.365188197887424</v>
      </c>
      <c r="T34" s="7">
        <v>11.578711515002924</v>
      </c>
      <c r="U34" s="7">
        <v>41.093421480691994</v>
      </c>
      <c r="V34" s="7">
        <v>3.0789901139055882</v>
      </c>
      <c r="W34" s="7">
        <v>6.0722348925764589</v>
      </c>
      <c r="X34" s="7">
        <v>1.3607789272978594</v>
      </c>
    </row>
    <row r="35" spans="1:24" x14ac:dyDescent="0.2">
      <c r="A35" s="2" t="s">
        <v>75</v>
      </c>
      <c r="B35" s="2" t="s">
        <v>95</v>
      </c>
      <c r="C35" s="54" t="e">
        <v>#DIV/0!</v>
      </c>
      <c r="D35" s="55" t="e">
        <v>#DIV/0!</v>
      </c>
      <c r="E35" s="55" t="e">
        <v>#DIV/0!</v>
      </c>
      <c r="F35" s="55" t="e">
        <v>#DIV/0!</v>
      </c>
      <c r="G35" s="55" t="e">
        <v>#DIV/0!</v>
      </c>
      <c r="H35" s="56" t="e">
        <v>#DIV/0!</v>
      </c>
      <c r="I35" s="5" t="e">
        <v>#DIV/0!</v>
      </c>
      <c r="J35" s="5" t="e">
        <v>#DIV/0!</v>
      </c>
      <c r="K35" s="5" t="e">
        <v>#DIV/0!</v>
      </c>
      <c r="L35" s="5" t="e">
        <v>#DIV/0!</v>
      </c>
      <c r="M35" s="5" t="e">
        <v>#DIV/0!</v>
      </c>
      <c r="N35" s="5" t="e">
        <v>#DIV/0!</v>
      </c>
      <c r="R35" s="7">
        <v>0.32729285507422284</v>
      </c>
      <c r="S35" s="7">
        <v>15.765635075556478</v>
      </c>
      <c r="T35" s="7">
        <v>7.3823547145161568</v>
      </c>
      <c r="U35" s="7">
        <v>30.786111485778928</v>
      </c>
      <c r="V35" s="7">
        <v>10.18315755122569</v>
      </c>
      <c r="W35" s="7">
        <v>28.231159854714107</v>
      </c>
      <c r="X35" s="7">
        <v>13.905456237752324</v>
      </c>
    </row>
    <row r="36" spans="1:24" x14ac:dyDescent="0.2">
      <c r="A36" s="2" t="s">
        <v>103</v>
      </c>
      <c r="B36" s="2" t="s">
        <v>111</v>
      </c>
      <c r="C36" s="54" t="e">
        <v>#DIV/0!</v>
      </c>
      <c r="D36" s="55" t="e">
        <v>#DIV/0!</v>
      </c>
      <c r="E36" s="55" t="e">
        <v>#DIV/0!</v>
      </c>
      <c r="F36" s="55" t="e">
        <v>#DIV/0!</v>
      </c>
      <c r="G36" s="55" t="e">
        <v>#DIV/0!</v>
      </c>
      <c r="H36" s="56" t="e">
        <v>#DIV/0!</v>
      </c>
      <c r="I36" s="5" t="e">
        <v>#DIV/0!</v>
      </c>
      <c r="J36" s="5" t="e">
        <v>#DIV/0!</v>
      </c>
      <c r="K36" s="5" t="e">
        <v>#DIV/0!</v>
      </c>
      <c r="L36" s="5" t="e">
        <v>#DIV/0!</v>
      </c>
      <c r="M36" s="5" t="e">
        <v>#DIV/0!</v>
      </c>
      <c r="N36" s="5" t="e">
        <v>#DIV/0!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2">
      <c r="A37" s="2" t="s">
        <v>102</v>
      </c>
      <c r="B37" s="2" t="s">
        <v>111</v>
      </c>
      <c r="C37" s="54" t="e">
        <v>#DIV/0!</v>
      </c>
      <c r="D37" s="55" t="e">
        <v>#DIV/0!</v>
      </c>
      <c r="E37" s="55" t="e">
        <v>#DIV/0!</v>
      </c>
      <c r="F37" s="55" t="e">
        <v>#DIV/0!</v>
      </c>
      <c r="G37" s="55" t="e">
        <v>#DIV/0!</v>
      </c>
      <c r="H37" s="56" t="e">
        <v>#DIV/0!</v>
      </c>
      <c r="I37" s="5" t="e">
        <v>#DIV/0!</v>
      </c>
      <c r="J37" s="5" t="e">
        <v>#DIV/0!</v>
      </c>
      <c r="K37" s="5" t="e">
        <v>#DIV/0!</v>
      </c>
      <c r="L37" s="5" t="e">
        <v>#DIV/0!</v>
      </c>
      <c r="M37" s="5" t="e">
        <v>#DIV/0!</v>
      </c>
      <c r="N37" s="5" t="e">
        <v>#DIV/0!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2">
      <c r="A38" s="2" t="s">
        <v>118</v>
      </c>
      <c r="C38" s="57" t="e">
        <f t="shared" ref="C38:D38" si="0">SUM(C6:C37)</f>
        <v>#DIV/0!</v>
      </c>
      <c r="D38" s="58" t="e">
        <f t="shared" si="0"/>
        <v>#DIV/0!</v>
      </c>
      <c r="E38" s="58" t="e">
        <f t="shared" ref="E38" si="1">SUM(E6:E37)</f>
        <v>#DIV/0!</v>
      </c>
      <c r="F38" s="58" t="e">
        <f t="shared" ref="F38" si="2">SUM(F6:F37)</f>
        <v>#DIV/0!</v>
      </c>
      <c r="G38" s="58" t="e">
        <f t="shared" ref="G38" si="3">SUM(G6:G37)</f>
        <v>#DIV/0!</v>
      </c>
      <c r="H38" s="59" t="e">
        <f t="shared" ref="H38" si="4">SUM(H6:H37)</f>
        <v>#DIV/0!</v>
      </c>
      <c r="I38" s="5" t="e">
        <v>#DIV/0!</v>
      </c>
      <c r="J38" s="5" t="e">
        <v>#DIV/0!</v>
      </c>
      <c r="K38" s="5" t="e">
        <v>#DIV/0!</v>
      </c>
      <c r="L38" s="5" t="e">
        <v>#DIV/0!</v>
      </c>
      <c r="M38" s="5" t="e">
        <v>#DIV/0!</v>
      </c>
      <c r="N38" s="5" t="e">
        <v>#DIV/0!</v>
      </c>
      <c r="R38" s="7">
        <v>273.20148434053812</v>
      </c>
      <c r="S38" s="7">
        <v>205.31687610178037</v>
      </c>
      <c r="T38" s="7">
        <v>87.086707420035495</v>
      </c>
      <c r="U38" s="7">
        <v>158.48685463308144</v>
      </c>
      <c r="V38" s="7">
        <v>77.556820717919322</v>
      </c>
      <c r="W38" s="7">
        <v>99.710101239635961</v>
      </c>
      <c r="X38" s="7">
        <v>79.168077963142224</v>
      </c>
    </row>
  </sheetData>
  <mergeCells count="11">
    <mergeCell ref="Y1:Z1"/>
    <mergeCell ref="AE1:AF1"/>
    <mergeCell ref="C2:D2"/>
    <mergeCell ref="E2:F2"/>
    <mergeCell ref="G2:H2"/>
    <mergeCell ref="C1:H1"/>
    <mergeCell ref="I1:N1"/>
    <mergeCell ref="I2:J2"/>
    <mergeCell ref="K2:L2"/>
    <mergeCell ref="M2:N2"/>
    <mergeCell ref="R1:X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9411-F855-4A04-BC4C-5A9BB224FBF6}">
  <dimension ref="A1:G15"/>
  <sheetViews>
    <sheetView topLeftCell="C1" zoomScale="85" zoomScaleNormal="85" workbookViewId="0">
      <selection activeCell="D49" sqref="D49"/>
    </sheetView>
  </sheetViews>
  <sheetFormatPr defaultRowHeight="11.25" x14ac:dyDescent="0.2"/>
  <cols>
    <col min="1" max="1" width="18.85546875" style="2" bestFit="1" customWidth="1"/>
    <col min="2" max="2" width="22.42578125" style="2" customWidth="1"/>
    <col min="3" max="3" width="29.85546875" style="2" bestFit="1" customWidth="1"/>
    <col min="4" max="4" width="18" style="2" customWidth="1"/>
    <col min="5" max="5" width="13.7109375" style="2" customWidth="1"/>
    <col min="6" max="16384" width="9.140625" style="2"/>
  </cols>
  <sheetData>
    <row r="1" spans="1:7" x14ac:dyDescent="0.2">
      <c r="B1" s="113" t="s">
        <v>168</v>
      </c>
      <c r="C1" s="113"/>
      <c r="D1" s="114" t="s">
        <v>169</v>
      </c>
      <c r="E1" s="114"/>
    </row>
    <row r="2" spans="1:7" x14ac:dyDescent="0.2">
      <c r="A2" s="3" t="s">
        <v>42</v>
      </c>
      <c r="B2" s="3" t="s">
        <v>29</v>
      </c>
      <c r="C2" s="3" t="s">
        <v>30</v>
      </c>
      <c r="D2" s="3" t="s">
        <v>170</v>
      </c>
      <c r="E2" s="3" t="s">
        <v>171</v>
      </c>
      <c r="G2" s="8" t="s">
        <v>43</v>
      </c>
    </row>
    <row r="3" spans="1:7" x14ac:dyDescent="0.2">
      <c r="A3" s="2" t="s">
        <v>31</v>
      </c>
      <c r="B3" s="9">
        <v>0.49399999999999999</v>
      </c>
      <c r="C3" s="9">
        <v>0.44600000000000001</v>
      </c>
      <c r="D3" s="2">
        <v>2470</v>
      </c>
      <c r="E3" s="2">
        <v>8.9</v>
      </c>
    </row>
    <row r="4" spans="1:7" x14ac:dyDescent="0.2">
      <c r="A4" s="2" t="s">
        <v>32</v>
      </c>
      <c r="B4" s="9">
        <v>9.4E-2</v>
      </c>
      <c r="C4" s="9">
        <v>5.3999999999999999E-2</v>
      </c>
      <c r="D4" s="2">
        <v>900</v>
      </c>
      <c r="E4" s="2">
        <v>3.5</v>
      </c>
    </row>
    <row r="5" spans="1:7" x14ac:dyDescent="0.2">
      <c r="A5" s="2" t="s">
        <v>27</v>
      </c>
      <c r="B5" s="9">
        <v>0.11899999999999999</v>
      </c>
      <c r="C5" s="9">
        <v>0.161</v>
      </c>
      <c r="D5" s="2">
        <v>12050</v>
      </c>
      <c r="E5" s="2">
        <v>53.2</v>
      </c>
    </row>
    <row r="6" spans="1:7" x14ac:dyDescent="0.2">
      <c r="A6" s="2" t="s">
        <v>33</v>
      </c>
      <c r="B6" s="9">
        <v>2.1999999999999999E-2</v>
      </c>
      <c r="C6" s="9">
        <v>2.4E-2</v>
      </c>
      <c r="D6" s="2">
        <v>1130</v>
      </c>
      <c r="E6" s="2">
        <v>3.3</v>
      </c>
    </row>
    <row r="7" spans="1:7" x14ac:dyDescent="0.2">
      <c r="A7" s="2" t="s">
        <v>34</v>
      </c>
      <c r="B7" s="9">
        <v>4.0000000000000001E-3</v>
      </c>
      <c r="C7" s="9">
        <v>4.0000000000000001E-3</v>
      </c>
      <c r="D7" s="2">
        <v>5680</v>
      </c>
      <c r="E7" s="2">
        <v>28</v>
      </c>
    </row>
    <row r="8" spans="1:7" x14ac:dyDescent="0.2">
      <c r="A8" s="2" t="s">
        <v>35</v>
      </c>
      <c r="B8" s="9">
        <v>0.11</v>
      </c>
      <c r="C8" s="9">
        <v>0.11600000000000001</v>
      </c>
      <c r="D8" s="2">
        <v>3610</v>
      </c>
      <c r="E8" s="2">
        <v>8.6</v>
      </c>
    </row>
    <row r="9" spans="1:7" x14ac:dyDescent="0.2">
      <c r="A9" s="2" t="s">
        <v>36</v>
      </c>
      <c r="B9" s="9">
        <v>3.6999999999999998E-2</v>
      </c>
      <c r="C9" s="9">
        <v>0.04</v>
      </c>
      <c r="D9" s="2">
        <v>3300</v>
      </c>
      <c r="E9" s="2">
        <v>9.9</v>
      </c>
    </row>
    <row r="10" spans="1:7" x14ac:dyDescent="0.2">
      <c r="A10" s="2" t="s">
        <v>37</v>
      </c>
      <c r="B10" s="9">
        <v>8.9999999999999993E-3</v>
      </c>
      <c r="C10" s="9">
        <v>4.0000000000000001E-3</v>
      </c>
      <c r="D10" s="2">
        <v>4200</v>
      </c>
      <c r="E10" s="2">
        <v>13.3</v>
      </c>
    </row>
    <row r="11" spans="1:7" x14ac:dyDescent="0.2">
      <c r="A11" s="2" t="s">
        <v>38</v>
      </c>
      <c r="B11" s="9">
        <v>2.3E-2</v>
      </c>
      <c r="C11" s="9">
        <v>3.6999999999999998E-2</v>
      </c>
      <c r="D11" s="2">
        <v>3610</v>
      </c>
      <c r="E11" s="2">
        <v>11.9</v>
      </c>
    </row>
    <row r="12" spans="1:7" x14ac:dyDescent="0.2">
      <c r="A12" s="2" t="s">
        <v>39</v>
      </c>
      <c r="B12" s="9">
        <v>4.0000000000000001E-3</v>
      </c>
      <c r="C12" s="9">
        <v>1.6E-2</v>
      </c>
      <c r="D12" s="2">
        <v>7670</v>
      </c>
      <c r="E12" s="2">
        <v>30.3</v>
      </c>
    </row>
    <row r="13" spans="1:7" x14ac:dyDescent="0.2">
      <c r="A13" s="2" t="s">
        <v>40</v>
      </c>
      <c r="B13" s="9">
        <v>4.7E-2</v>
      </c>
      <c r="C13" s="9">
        <v>5.7000000000000002E-2</v>
      </c>
      <c r="D13" s="2">
        <v>36630</v>
      </c>
      <c r="E13" s="2">
        <v>133.4</v>
      </c>
    </row>
    <row r="14" spans="1:7" x14ac:dyDescent="0.2">
      <c r="A14" s="2" t="s">
        <v>28</v>
      </c>
      <c r="B14" s="9">
        <v>3.6999999999999998E-2</v>
      </c>
      <c r="C14" s="9">
        <v>4.1000000000000002E-2</v>
      </c>
      <c r="D14" s="2">
        <v>24250</v>
      </c>
      <c r="E14" s="2">
        <v>75.2</v>
      </c>
    </row>
    <row r="15" spans="1:7" x14ac:dyDescent="0.2">
      <c r="A15" s="2" t="s">
        <v>41</v>
      </c>
      <c r="B15" s="9">
        <v>0</v>
      </c>
      <c r="C15" s="9">
        <v>0</v>
      </c>
      <c r="D15" s="2">
        <v>18940</v>
      </c>
      <c r="E15" s="2">
        <v>90.2</v>
      </c>
    </row>
  </sheetData>
  <mergeCells count="2">
    <mergeCell ref="B1:C1"/>
    <mergeCell ref="D1:E1"/>
  </mergeCells>
  <hyperlinks>
    <hyperlink ref="G2" r:id="rId1" xr:uid="{E4A4EE9C-266D-4DA5-BED2-A2DD73285CD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E178-D501-41A7-AC88-1DE8BE2B680E}">
  <dimension ref="A1:K9"/>
  <sheetViews>
    <sheetView topLeftCell="I1" workbookViewId="0">
      <selection activeCell="N34" sqref="N34"/>
    </sheetView>
  </sheetViews>
  <sheetFormatPr defaultRowHeight="11.25" x14ac:dyDescent="0.2"/>
  <cols>
    <col min="1" max="1" width="15.85546875" style="2" bestFit="1" customWidth="1"/>
    <col min="2" max="16384" width="9.140625" style="2"/>
  </cols>
  <sheetData>
    <row r="1" spans="1:11" x14ac:dyDescent="0.2">
      <c r="A1" s="3" t="s">
        <v>110</v>
      </c>
      <c r="B1" s="3" t="s">
        <v>17</v>
      </c>
      <c r="C1" s="3" t="s">
        <v>101</v>
      </c>
      <c r="D1" s="3" t="s">
        <v>109</v>
      </c>
    </row>
    <row r="2" spans="1:11" x14ac:dyDescent="0.2">
      <c r="A2" s="3" t="s">
        <v>104</v>
      </c>
      <c r="K2" s="8" t="s">
        <v>43</v>
      </c>
    </row>
    <row r="3" spans="1:11" x14ac:dyDescent="0.2">
      <c r="A3" s="3" t="s">
        <v>105</v>
      </c>
      <c r="B3" s="2">
        <v>112</v>
      </c>
      <c r="C3" s="2">
        <v>0.23</v>
      </c>
      <c r="D3" s="2">
        <v>440</v>
      </c>
    </row>
    <row r="4" spans="1:11" x14ac:dyDescent="0.2">
      <c r="A4" s="3" t="s">
        <v>106</v>
      </c>
      <c r="B4" s="2">
        <v>67</v>
      </c>
      <c r="C4" s="2">
        <v>0.18</v>
      </c>
      <c r="D4" s="2">
        <v>387</v>
      </c>
    </row>
    <row r="5" spans="1:11" x14ac:dyDescent="0.2">
      <c r="A5" s="3" t="s">
        <v>107</v>
      </c>
      <c r="B5" s="2">
        <v>81</v>
      </c>
      <c r="C5" s="2">
        <v>0.2</v>
      </c>
      <c r="D5" s="2">
        <v>426</v>
      </c>
    </row>
    <row r="6" spans="1:11" x14ac:dyDescent="0.2">
      <c r="A6" s="3" t="s">
        <v>108</v>
      </c>
    </row>
    <row r="7" spans="1:11" x14ac:dyDescent="0.2">
      <c r="A7" s="3" t="s">
        <v>105</v>
      </c>
      <c r="B7" s="2">
        <v>-22</v>
      </c>
      <c r="C7" s="2">
        <v>-0.02</v>
      </c>
      <c r="D7" s="2">
        <v>-86</v>
      </c>
    </row>
    <row r="8" spans="1:11" x14ac:dyDescent="0.2">
      <c r="A8" s="3" t="s">
        <v>106</v>
      </c>
      <c r="B8" s="2">
        <v>-7</v>
      </c>
      <c r="C8" s="2">
        <v>-0.01</v>
      </c>
      <c r="D8" s="2">
        <v>-62</v>
      </c>
    </row>
    <row r="9" spans="1:11" x14ac:dyDescent="0.2">
      <c r="A9" s="3" t="s">
        <v>107</v>
      </c>
      <c r="B9" s="2">
        <v>-10</v>
      </c>
      <c r="C9" s="2">
        <v>-0.01</v>
      </c>
      <c r="D9" s="2">
        <v>-68</v>
      </c>
    </row>
  </sheetData>
  <hyperlinks>
    <hyperlink ref="K2" r:id="rId1" xr:uid="{2333D580-173A-4A4C-8EDA-B642763313A6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AF47-74A8-4414-A100-72E6ADD70F70}">
  <dimension ref="A1:Q10"/>
  <sheetViews>
    <sheetView workbookViewId="0">
      <selection activeCell="F2" sqref="F2"/>
    </sheetView>
  </sheetViews>
  <sheetFormatPr defaultRowHeight="15" x14ac:dyDescent="0.25"/>
  <cols>
    <col min="1" max="1" width="19" bestFit="1" customWidth="1"/>
    <col min="2" max="3" width="10.140625" bestFit="1" customWidth="1"/>
    <col min="4" max="5" width="10.140625" customWidth="1"/>
    <col min="6" max="7" width="12.42578125" bestFit="1" customWidth="1"/>
  </cols>
  <sheetData>
    <row r="1" spans="1:17" ht="45.75" x14ac:dyDescent="0.25"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82</v>
      </c>
      <c r="I1" s="6" t="s">
        <v>83</v>
      </c>
      <c r="J1" s="6" t="s">
        <v>84</v>
      </c>
      <c r="K1" s="6" t="s">
        <v>85</v>
      </c>
      <c r="L1" s="6" t="s">
        <v>86</v>
      </c>
      <c r="M1" s="6" t="s">
        <v>87</v>
      </c>
      <c r="N1" s="6" t="s">
        <v>88</v>
      </c>
      <c r="O1" s="6" t="s">
        <v>89</v>
      </c>
      <c r="P1" s="6" t="s">
        <v>90</v>
      </c>
      <c r="Q1" s="6" t="s">
        <v>91</v>
      </c>
    </row>
    <row r="2" spans="1:17" x14ac:dyDescent="0.25">
      <c r="A2" s="2" t="s">
        <v>44</v>
      </c>
      <c r="B2" s="5">
        <v>0.65649653408149</v>
      </c>
      <c r="C2" s="5">
        <v>0.54302148037539899</v>
      </c>
      <c r="D2" s="5">
        <v>0.37480403798965162</v>
      </c>
      <c r="E2" s="5">
        <v>0.30955166237494308</v>
      </c>
      <c r="F2" s="5">
        <v>5.8795405205431479E-2</v>
      </c>
      <c r="G2" s="5">
        <v>0</v>
      </c>
      <c r="H2" s="5">
        <v>0</v>
      </c>
      <c r="I2" s="5">
        <v>0</v>
      </c>
      <c r="J2" s="5">
        <v>0.65567467386186218</v>
      </c>
      <c r="K2" s="5">
        <v>0.54382913602830851</v>
      </c>
      <c r="L2" s="5">
        <v>0.35114706086683756</v>
      </c>
      <c r="M2" s="5">
        <v>0.24625418847359296</v>
      </c>
      <c r="N2" s="5">
        <v>5.8814050416097177E-2</v>
      </c>
      <c r="O2" s="5">
        <v>0</v>
      </c>
      <c r="P2" s="5">
        <v>0</v>
      </c>
      <c r="Q2" s="5">
        <v>0</v>
      </c>
    </row>
    <row r="3" spans="1:17" x14ac:dyDescent="0.25">
      <c r="A3" s="2" t="s">
        <v>45</v>
      </c>
      <c r="B3" s="5">
        <v>9.5258761036033285E-2</v>
      </c>
      <c r="C3" s="5">
        <v>0.18715831972703739</v>
      </c>
      <c r="D3" s="5">
        <v>0.3740115429984881</v>
      </c>
      <c r="E3" s="5">
        <v>0.41201528069296844</v>
      </c>
      <c r="F3" s="5">
        <v>0.18816347650908463</v>
      </c>
      <c r="G3" s="5">
        <v>0.34638042107647249</v>
      </c>
      <c r="H3" s="5">
        <v>0.43123084019252877</v>
      </c>
      <c r="I3" s="5">
        <v>0.50888586538026992</v>
      </c>
      <c r="J3" s="5">
        <v>9.514019711597041E-2</v>
      </c>
      <c r="K3" s="5">
        <v>0.18994188619063615</v>
      </c>
      <c r="L3" s="5">
        <v>0.3995407749892258</v>
      </c>
      <c r="M3" s="5">
        <v>0.45334735467226206</v>
      </c>
      <c r="N3" s="5">
        <v>0.18823764603222617</v>
      </c>
      <c r="O3" s="5">
        <v>0.34483682630389312</v>
      </c>
      <c r="P3" s="5">
        <v>0.67249258861885519</v>
      </c>
      <c r="Q3" s="5">
        <v>0.63654195877826181</v>
      </c>
    </row>
    <row r="4" spans="1:17" x14ac:dyDescent="0.25">
      <c r="A4" s="2" t="s">
        <v>46</v>
      </c>
      <c r="B4" s="5">
        <v>4.6130915917491029E-2</v>
      </c>
      <c r="C4" s="5">
        <v>0.10163659828469647</v>
      </c>
      <c r="D4" s="5">
        <v>0.10835594193738626</v>
      </c>
      <c r="E4" s="5">
        <v>0.14014257452046885</v>
      </c>
      <c r="F4" s="5">
        <v>8.1287260574084211E-2</v>
      </c>
      <c r="G4" s="5">
        <v>0.13900069557269246</v>
      </c>
      <c r="H4" s="5">
        <v>0.14508286692038599</v>
      </c>
      <c r="I4" s="5">
        <v>0.18217662762903583</v>
      </c>
      <c r="J4" s="5">
        <v>4.6073361670510682E-2</v>
      </c>
      <c r="K4" s="5">
        <v>0.10270248216900964</v>
      </c>
      <c r="L4" s="5">
        <v>0.11405615684778848</v>
      </c>
      <c r="M4" s="5">
        <v>0.1511111504641193</v>
      </c>
      <c r="N4" s="5">
        <v>8.1314058120272939E-2</v>
      </c>
      <c r="O4" s="5">
        <v>0.1384832110284977</v>
      </c>
      <c r="P4" s="5">
        <v>0.17379572895423354</v>
      </c>
      <c r="Q4" s="5">
        <v>0.20232728359502283</v>
      </c>
    </row>
    <row r="5" spans="1:17" x14ac:dyDescent="0.25">
      <c r="A5" s="2" t="s">
        <v>49</v>
      </c>
      <c r="B5" s="5">
        <v>0.1162347066084633</v>
      </c>
      <c r="C5" s="5">
        <v>0.10562884723481117</v>
      </c>
      <c r="D5" s="5">
        <v>0.10112368782543202</v>
      </c>
      <c r="E5" s="5">
        <v>9.207636932456488E-2</v>
      </c>
      <c r="F5" s="5">
        <v>4.0684209333330681E-2</v>
      </c>
      <c r="G5" s="5">
        <v>3.9818608940359712E-2</v>
      </c>
      <c r="H5" s="5">
        <v>4.0588437609132243E-2</v>
      </c>
      <c r="I5" s="5">
        <v>3.9058780553433606E-2</v>
      </c>
      <c r="J5" s="5">
        <v>0.11608919375874924</v>
      </c>
      <c r="K5" s="5">
        <v>0.10693857248194984</v>
      </c>
      <c r="L5" s="5">
        <v>8.5191751915024441E-2</v>
      </c>
      <c r="M5" s="5">
        <v>6.3720604393446165E-2</v>
      </c>
      <c r="N5" s="5">
        <v>4.0496353382093994E-2</v>
      </c>
      <c r="O5" s="5">
        <v>4.0020303400163292E-2</v>
      </c>
      <c r="P5" s="5">
        <v>3.0612358106183877E-2</v>
      </c>
      <c r="Q5" s="5">
        <v>2.3958972707383206E-2</v>
      </c>
    </row>
    <row r="6" spans="1:17" x14ac:dyDescent="0.25">
      <c r="A6" s="2" t="s">
        <v>47</v>
      </c>
      <c r="B6" s="5">
        <v>1.4602927963626507E-2</v>
      </c>
      <c r="C6" s="5">
        <v>0</v>
      </c>
      <c r="D6" s="5">
        <v>0</v>
      </c>
      <c r="E6" s="5">
        <v>0</v>
      </c>
      <c r="F6" s="5">
        <v>0.44998134728924588</v>
      </c>
      <c r="G6" s="5">
        <v>0.26747299272166475</v>
      </c>
      <c r="H6" s="5">
        <v>0.1069755003409974</v>
      </c>
      <c r="I6" s="5">
        <v>1.0621271670299843E-2</v>
      </c>
      <c r="J6" s="5">
        <v>1.4584646731418342E-2</v>
      </c>
      <c r="K6" s="5">
        <v>0</v>
      </c>
      <c r="L6" s="5">
        <v>0</v>
      </c>
      <c r="M6" s="5">
        <v>0</v>
      </c>
      <c r="N6" s="5">
        <v>0.4483674975186509</v>
      </c>
      <c r="O6" s="5">
        <v>0.26878753186667348</v>
      </c>
      <c r="P6" s="5">
        <v>4.4776468568166047E-3</v>
      </c>
      <c r="Q6" s="5">
        <v>0</v>
      </c>
    </row>
    <row r="7" spans="1:17" x14ac:dyDescent="0.25">
      <c r="A7" s="2" t="s">
        <v>48</v>
      </c>
      <c r="B7" s="5">
        <v>4.7601450166580558E-2</v>
      </c>
      <c r="C7" s="5">
        <v>1.8049436136901575E-2</v>
      </c>
      <c r="D7" s="5">
        <v>9.6778051777521735E-3</v>
      </c>
      <c r="E7" s="5">
        <v>7.5678832201367821E-3</v>
      </c>
      <c r="F7" s="5">
        <v>0.12928178357042622</v>
      </c>
      <c r="G7" s="5">
        <v>0.12070009992954113</v>
      </c>
      <c r="H7" s="5">
        <v>0.1749579415550844</v>
      </c>
      <c r="I7" s="5">
        <v>0.15693159838777149</v>
      </c>
      <c r="J7" s="5">
        <v>4.8792904831158536E-2</v>
      </c>
      <c r="K7" s="5">
        <v>1.1975048200883933E-2</v>
      </c>
      <c r="L7" s="5">
        <v>5.3683478126073051E-3</v>
      </c>
      <c r="M7" s="5">
        <v>6.0376679843467109E-3</v>
      </c>
      <c r="N7" s="5">
        <v>0.1271906877188623</v>
      </c>
      <c r="O7" s="5">
        <v>0.11656796994528298</v>
      </c>
      <c r="P7" s="5">
        <v>2.5852938965992528E-2</v>
      </c>
      <c r="Q7" s="5">
        <v>5.7065687145465779E-4</v>
      </c>
    </row>
    <row r="8" spans="1:17" x14ac:dyDescent="0.25">
      <c r="A8" s="2" t="s">
        <v>75</v>
      </c>
      <c r="B8" s="5">
        <v>2.3674704226315211E-2</v>
      </c>
      <c r="C8" s="5">
        <v>4.4505318241154473E-2</v>
      </c>
      <c r="D8" s="5">
        <v>3.2026984071289871E-2</v>
      </c>
      <c r="E8" s="5">
        <v>3.8646229866917944E-2</v>
      </c>
      <c r="F8" s="5">
        <v>5.1806517518396829E-2</v>
      </c>
      <c r="G8" s="5">
        <v>8.6627181759269437E-2</v>
      </c>
      <c r="H8" s="5">
        <v>0.10116441338187122</v>
      </c>
      <c r="I8" s="5">
        <v>0.10232585637918933</v>
      </c>
      <c r="J8" s="5">
        <v>2.3645022030330646E-2</v>
      </c>
      <c r="K8" s="5">
        <v>4.4612874929211926E-2</v>
      </c>
      <c r="L8" s="5">
        <v>4.4695907568516366E-2</v>
      </c>
      <c r="M8" s="5">
        <v>7.9529034012233019E-2</v>
      </c>
      <c r="N8" s="5">
        <v>5.5579706811796456E-2</v>
      </c>
      <c r="O8" s="5">
        <v>9.1304157455489407E-2</v>
      </c>
      <c r="P8" s="5">
        <v>9.2768738497918307E-2</v>
      </c>
      <c r="Q8" s="5">
        <v>0.13660112804787747</v>
      </c>
    </row>
    <row r="10" spans="1:17" x14ac:dyDescent="0.25">
      <c r="A10" s="2" t="s">
        <v>19</v>
      </c>
      <c r="B10" s="1" t="s">
        <v>92</v>
      </c>
    </row>
  </sheetData>
  <phoneticPr fontId="8" type="noConversion"/>
  <hyperlinks>
    <hyperlink ref="B10" r:id="rId1" xr:uid="{1861F050-0CCA-41D1-920E-4DDEE238774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F96E-0BEB-468A-A919-80E7265D610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80ACA5-6709-49E2-A28E-C0B05FCE4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Information</vt:lpstr>
      <vt:lpstr>Inventaire</vt:lpstr>
      <vt:lpstr>Analyse d'impacts</vt:lpstr>
      <vt:lpstr>Composition voiture</vt:lpstr>
      <vt:lpstr>Production batterie</vt:lpstr>
      <vt:lpstr>Mix électriques</vt:lpstr>
      <vt:lpstr>Carburant</vt:lpstr>
      <vt:lpstr>n_SelectedImpact_Elec</vt:lpstr>
      <vt:lpstr>n_SelectedRegion_Elec</vt:lpstr>
      <vt:lpstr>n_SelectedScenario_Elec</vt:lpstr>
      <vt:lpstr>n_SelectedSensitivity_Elec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Gibon</dc:creator>
  <cp:lastModifiedBy>Thomas Gibon</cp:lastModifiedBy>
  <dcterms:created xsi:type="dcterms:W3CDTF">2024-03-19T15:46:23Z</dcterms:created>
  <dcterms:modified xsi:type="dcterms:W3CDTF">2026-01-07T13:13:33Z</dcterms:modified>
</cp:coreProperties>
</file>